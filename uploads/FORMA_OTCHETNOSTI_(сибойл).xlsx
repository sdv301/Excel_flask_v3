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92.168.0.101\Share\ФАС и УВЕДОМЛЕНИЯ\Министерство ГО и ОБЖН РС(Я) (ежедневно)\СБР\"/>
    </mc:Choice>
  </mc:AlternateContent>
  <xr:revisionPtr revIDLastSave="0" documentId="13_ncr:1_{EBFF2B55-1377-41F1-B993-78FB6478AD69}" xr6:coauthVersionLast="47" xr6:coauthVersionMax="47" xr10:uidLastSave="{00000000-0000-0000-0000-000000000000}"/>
  <bookViews>
    <workbookView xWindow="-120" yWindow="-120" windowWidth="29040" windowHeight="15840" tabRatio="624" firstSheet="1" activeTab="5" xr2:uid="{00000000-000D-0000-FFFF-FFFF00000000}"/>
  </bookViews>
  <sheets>
    <sheet name="Справочник" sheetId="1" state="hidden" r:id="rId1"/>
    <sheet name="1-Структура" sheetId="2" r:id="rId2"/>
    <sheet name="2-Потребность" sheetId="3" r:id="rId3"/>
    <sheet name="3-Остатки" sheetId="4" r:id="rId4"/>
    <sheet name="4-Поставка" sheetId="5" r:id="rId5"/>
    <sheet name="5-Реализация" sheetId="6" r:id="rId6"/>
    <sheet name="6-Авиатопливо" sheetId="7" r:id="rId7"/>
    <sheet name="7-Справка" sheetId="8" r:id="rId8"/>
  </sheets>
  <definedNames>
    <definedName name="SF">Справочник!$C$4:$C$89</definedName>
    <definedName name="_xlnm.Print_Area" localSheetId="1">'1-Структура'!$A$1:$E$26</definedName>
    <definedName name="_xlnm.Print_Area" localSheetId="2">'2-Потребность'!$A$1:$K$16</definedName>
    <definedName name="_xlnm.Print_Area" localSheetId="3">'3-Остатки'!$A$1:$AA$15</definedName>
    <definedName name="_xlnm.Print_Area" localSheetId="4">'4-Поставка'!$A$1:$L$14</definedName>
    <definedName name="_xlnm.Print_Area" localSheetId="5">'5-Реализация'!$A$1:$S$15</definedName>
    <definedName name="_xlnm.Print_Area" localSheetId="6">'6-Авиатопливо'!$A$1:$I$13</definedName>
    <definedName name="_xlnm.Print_Area" localSheetId="7">'7-Справка'!$A$1:$C$9</definedName>
    <definedName name="ситуация">Справочник!$H$4:$H$6</definedName>
  </definedNames>
  <calcPr calcId="191029" refMode="R1C1"/>
</workbook>
</file>

<file path=xl/calcChain.xml><?xml version="1.0" encoding="utf-8"?>
<calcChain xmlns="http://schemas.openxmlformats.org/spreadsheetml/2006/main">
  <c r="Q9" i="6" l="1"/>
  <c r="O9" i="6"/>
  <c r="N9" i="6"/>
  <c r="M9" i="6"/>
  <c r="D8" i="3"/>
  <c r="G16" i="3" l="1"/>
  <c r="J16" i="3" l="1"/>
  <c r="K16" i="3"/>
  <c r="I16" i="3" l="1"/>
  <c r="H16" i="3"/>
  <c r="K8" i="3"/>
  <c r="J8" i="3"/>
  <c r="I8" i="3"/>
  <c r="H8" i="3"/>
  <c r="I9" i="3"/>
  <c r="J9" i="3"/>
  <c r="K9" i="3"/>
  <c r="F16" i="3" l="1"/>
  <c r="F9" i="3" s="1"/>
  <c r="E16" i="3"/>
  <c r="E9" i="3" s="1"/>
  <c r="D16" i="3"/>
  <c r="D9" i="3" s="1"/>
  <c r="B16" i="3"/>
  <c r="H9" i="3"/>
  <c r="G9" i="3" s="1"/>
  <c r="G8" i="3"/>
  <c r="F8" i="3"/>
  <c r="E8" i="3"/>
  <c r="B6" i="2"/>
  <c r="B8" i="3" l="1"/>
  <c r="B9" i="3"/>
</calcChain>
</file>

<file path=xl/sharedStrings.xml><?xml version="1.0" encoding="utf-8"?>
<sst xmlns="http://schemas.openxmlformats.org/spreadsheetml/2006/main" count="300" uniqueCount="178">
  <si>
    <t>Наименование субъекта Российской Федерации</t>
  </si>
  <si>
    <t>Код 
субъекта РФ</t>
  </si>
  <si>
    <t>Адыгея республика</t>
  </si>
  <si>
    <t>1 - Стабильная</t>
  </si>
  <si>
    <t>Башкортостан республика</t>
  </si>
  <si>
    <t>2 - Напряженная</t>
  </si>
  <si>
    <t>Бурятия республика</t>
  </si>
  <si>
    <t>3 - Критическая</t>
  </si>
  <si>
    <t>Алтай республика</t>
  </si>
  <si>
    <t>Дагестан республика</t>
  </si>
  <si>
    <t>Ингушетия республика</t>
  </si>
  <si>
    <t>Кабардино-Балкарская республика</t>
  </si>
  <si>
    <t>Калмыкия республика</t>
  </si>
  <si>
    <t>Карачаево-Черкесская республика</t>
  </si>
  <si>
    <t>Карелия республика</t>
  </si>
  <si>
    <t>Коми республика</t>
  </si>
  <si>
    <t>Марий Эл республика</t>
  </si>
  <si>
    <t>Мордовия республика</t>
  </si>
  <si>
    <t>Саха /Якутия/ республика</t>
  </si>
  <si>
    <t>Северная Осетия - Алания республика</t>
  </si>
  <si>
    <t>Татарстан республика</t>
  </si>
  <si>
    <t>Тыва республика</t>
  </si>
  <si>
    <t>Удмуртская республика</t>
  </si>
  <si>
    <t>Хакасия республика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</si>
  <si>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</si>
  <si>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</si>
  <si>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</si>
  <si>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</si>
  <si>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</si>
  <si>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</si>
  <si>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</si>
  <si>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</si>
  <si>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</si>
  <si>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</si>
  <si>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</si>
  <si>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</si>
  <si>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</si>
  <si>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</si>
  <si>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</si>
  <si>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</si>
  <si>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</si>
  <si>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</si>
  <si>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</si>
  <si>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</si>
  <si>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</si>
  <si>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</si>
  <si>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</si>
  <si>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</si>
  <si>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</si>
  <si>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</si>
  <si>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</si>
  <si>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</si>
  <si>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</si>
  <si>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</si>
  <si>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</si>
  <si>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</si>
  <si>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</si>
  <si>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</si>
  <si>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</si>
  <si>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</si>
  <si>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</si>
  <si>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</si>
  <si>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</si>
  <si>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</si>
  <si>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</si>
  <si>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</si>
  <si>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</si>
  <si>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</si>
  <si>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</si>
  <si>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</si>
  <si>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</si>
  <si>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</si>
  <si>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</si>
  <si>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</si>
  <si>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</si>
  <si>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</si>
  <si>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</si>
  <si>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</si>
  <si>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</si>
  <si>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</si>
  <si>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</si>
  <si>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 город</t>
  </si>
  <si>
    <t>Санкт-Петербург город</t>
  </si>
  <si>
    <t>Еврейская автономная область</t>
  </si>
  <si>
    <t>Ненецкий автономный округ</t>
  </si>
  <si>
    <t>Ханты-Мансийский Автономный округ - Югра автономный округ</t>
  </si>
  <si>
    <t>Чукотский автономный округ</t>
  </si>
  <si>
    <t>Ямало-Ненецкий автономный округ</t>
  </si>
  <si>
    <t>Крым республика</t>
  </si>
  <si>
    <t>Севастополь город</t>
  </si>
  <si>
    <t>Байконур город</t>
  </si>
  <si>
    <t>Информация по состоянию за:</t>
  </si>
  <si>
    <t>Исполнитель:</t>
  </si>
  <si>
    <t>ФИО</t>
  </si>
  <si>
    <t>Контактный телефон:</t>
  </si>
  <si>
    <t>(4112) 320-322</t>
  </si>
  <si>
    <t>Субъект Российской Федерации</t>
  </si>
  <si>
    <t>Код субъекта РФ</t>
  </si>
  <si>
    <t>1. Структура топливного рынка субъекта РФ</t>
  </si>
  <si>
    <t xml:space="preserve"> 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</si>
  <si>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</si>
  <si>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</si>
  <si>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</si>
  <si>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</si>
  <si>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</si>
  <si>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</si>
  <si>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ПАО "НК "Роснефть"</t>
  </si>
  <si>
    <t>ООО "Сибирь Ойл"</t>
  </si>
  <si>
    <t>ООО "Татнефть-АЗС Центр"</t>
  </si>
  <si>
    <t>ООО "ГАЗПРОМ ГАЗОНЕФТЕПРОДУКТ ПРОДАЖИ"</t>
  </si>
  <si>
    <t xml:space="preserve">ПАО "Газпром нефть" </t>
  </si>
  <si>
    <t>ООО ТК "ПетроТрейд"</t>
  </si>
  <si>
    <t>ООО "Солид-Сибирь"</t>
  </si>
  <si>
    <t>Таблица №2 Аэропорты, аэродромы</t>
  </si>
  <si>
    <t>Наименование аэропортов, аэродромов 
в субъекте РФ</t>
  </si>
  <si>
    <t>Наименование ТЗК</t>
  </si>
  <si>
    <t>2. Потребность в моторном топливе субъекта РФ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</si>
  <si>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</si>
  <si>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</si>
  <si>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</si>
  <si>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</si>
  <si>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</si>
  <si>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</si>
  <si>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</si>
  <si>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</si>
  <si>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</si>
  <si>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</si>
  <si>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</si>
  <si>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</si>
  <si>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</si>
  <si>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 xml:space="preserve"> - в т.ч. для розничной реализации через АЗС</t>
  </si>
  <si>
    <t>Таблица №4 Ожидаемая потребность в моторном топливе в отчетном месяце</t>
  </si>
  <si>
    <t>3. Информация о наличии моторного топлива на предприятиях нефтепродуктообеспечения (ПНПО) и автозаправочных станциях (АЗС) в субъектах РФ. (тыс. тонн)</t>
  </si>
  <si>
    <t>Таблица №5 Наличие моторного топлива</t>
  </si>
  <si>
    <t>Принадлежность ПНПО /АЗС
ВИНК / Независимые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</si>
  <si>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суммарное количество АЗС</t>
    </r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</si>
  <si>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</si>
  <si>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</si>
  <si>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</si>
  <si>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</si>
  <si>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Нефтебаза п. Марха</t>
  </si>
  <si>
    <t>Якутская нефтебаза (дог. хр.)</t>
  </si>
  <si>
    <t>Нижне-Бестяхская нефтебаза (дог. хр.)</t>
  </si>
  <si>
    <t>4. Ожидаемые поставки моторного топлива на нефтебазы ПНПО в субъектах РФ.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</si>
  <si>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</si>
  <si>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</si>
  <si>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</si>
  <si>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</si>
  <si>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</si>
  <si>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АО НК "Туймаада-Нефть"</t>
  </si>
  <si>
    <t>ООО "ГАЗПРОМ ГАЗОНЕФТЕПРОДУКТ ХОЛДИНГ"</t>
  </si>
  <si>
    <t>5. Реализация моторного топлива с предприятий нефтепродуктообеспечения (ПНПО) и автозаправочных станций (АЗС) 
в субъектах РФ. (тыс. тонн)</t>
  </si>
  <si>
    <t>Таблица №7 Реализация моторного топлива</t>
  </si>
  <si>
    <t>Принадлежность ПНПО /АЗС
ВИНК / Независимые компании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</si>
  <si>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/суммарное количество АЗС</t>
    </r>
  </si>
  <si>
    <t>Реализация (сутки)</t>
  </si>
  <si>
    <t>Реализация (с нач. месяца)</t>
  </si>
  <si>
    <t>6. Поставка авиатоплива в аэропорты, аэродромы субъектов РФ (тыс. тонн)</t>
  </si>
  <si>
    <t>Таблица №8 Авиатопливо</t>
  </si>
  <si>
    <t>Наименование аэропортов, аэродромов 
в субъекте РФ*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</si>
  <si>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</si>
  <si>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</si>
  <si>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</si>
  <si>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</si>
  <si>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</si>
  <si>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сут.</t>
  </si>
  <si>
    <t>с нач. мес.</t>
  </si>
  <si>
    <t>7. Комментарии к обстановке с топливообеспечением субъектов РФ</t>
  </si>
  <si>
    <t>Таблица №9 Комментарии</t>
  </si>
  <si>
    <t>Моторное топливо</t>
  </si>
  <si>
    <t>Ситуация по топливообеспечению</t>
  </si>
  <si>
    <t>Комментарии по ситуации</t>
  </si>
  <si>
    <t>Бензин автомобильный</t>
  </si>
  <si>
    <t>Авиатопливо</t>
  </si>
  <si>
    <t>АЗС (16шт)</t>
  </si>
  <si>
    <t>декабрь</t>
  </si>
  <si>
    <t xml:space="preserve"> ГОД 2026, всего</t>
  </si>
  <si>
    <t xml:space="preserve">  МЕСЯЦ  февраль,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</si>
</sst>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m/yyyy"/>
    <numFmt numFmtId="166" formatCode="mmmm/yyyy"/>
    <numFmt numFmtId="167" formatCode="dd\.mm\.yyyy"/>
  </numFmts>
  <fonts count="10" x14ac:knownFonts="1">
    <font>
      <sz val="10"/>
      <color rgb="FF000000"/>
      <name val="Arial"/>
      <charset val="204"/>
    </font>
    <font>
      <sz val="9"/>
      <color rgb="FF000000"/>
      <name val="Arial Narrow"/>
      <family val="2"/>
      <charset val="204"/>
    </font>
    <font>
      <b/>
      <sz val="16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b/>
      <sz val="9"/>
      <name val="Arial Narrow"/>
      <family val="2"/>
      <charset val="204"/>
    </font>
    <font>
      <b/>
      <i/>
      <sz val="9"/>
      <color rgb="FF000000"/>
      <name val="Arial Narrow"/>
      <family val="2"/>
      <charset val="204"/>
    </font>
    <font>
      <sz val="10"/>
      <color rgb="FF00000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10"/>
      <name val="Arial Cyr"/>
      <charset val="204"/>
    </font>
    <font>
      <sz val="12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rgb="FFA6A6A6"/>
        <bgColor rgb="FF9999FF"/>
      </patternFill>
    </fill>
    <fill>
      <patternFill patternType="solid">
        <fgColor rgb="FFE6B9B8"/>
        <bgColor rgb="FFD9D9D9"/>
      </patternFill>
    </fill>
    <fill>
      <patternFill patternType="solid">
        <fgColor rgb="FFFFFFFF"/>
        <bgColor rgb="FFFFFFAF"/>
      </patternFill>
    </fill>
    <fill>
      <patternFill patternType="solid">
        <fgColor rgb="FFB9CDE5"/>
        <bgColor rgb="FFB7DEE8"/>
      </patternFill>
    </fill>
    <fill>
      <patternFill patternType="solid">
        <fgColor rgb="FFB7DEE8"/>
        <bgColor rgb="FFB9CDE5"/>
      </patternFill>
    </fill>
    <fill>
      <patternFill patternType="solid">
        <fgColor rgb="FFC3D69B"/>
        <bgColor rgb="FFD7E4BD"/>
      </patternFill>
    </fill>
    <fill>
      <patternFill patternType="solid">
        <fgColor rgb="FFD9D9D9"/>
        <bgColor rgb="FFD7E4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4" fillId="0" borderId="2" xfId="2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/>
    <xf numFmtId="0" fontId="3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165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167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/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31000000}"/>
    <cellStyle name="Обычный_Лист1" xfId="2" xr:uid="{00000000-0005-0000-0000-000032000000}"/>
  </cellStyles>
  <dxfs count="3">
    <dxf>
      <font>
        <color rgb="FF953735"/>
      </font>
      <fill>
        <patternFill patternType="solid">
          <bgColor rgb="FFF2DCDB"/>
        </patternFill>
      </fill>
    </dxf>
    <dxf>
      <font>
        <color rgb="FF984807"/>
      </font>
      <fill>
        <patternFill patternType="solid">
          <bgColor rgb="FFFFFFAF"/>
        </patternFill>
      </fill>
    </dxf>
    <dxf>
      <font>
        <color rgb="FF4F6228"/>
      </font>
      <fill>
        <patternFill patternType="solid">
          <bgColor rgb="FFD7E4B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4F6228"/>
      <rgbColor rgb="00800080"/>
      <rgbColor rgb="00008080"/>
      <rgbColor rgb="00C3D69B"/>
      <rgbColor rgb="00808080"/>
      <rgbColor rgb="009999FF"/>
      <rgbColor rgb="00953735"/>
      <rgbColor rgb="00F2DCDB"/>
      <rgbColor rgb="00D9D9D9"/>
      <rgbColor rgb="00660066"/>
      <rgbColor rgb="00FF8080"/>
      <rgbColor rgb="000066CC"/>
      <rgbColor rgb="00B9CD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AF"/>
      <rgbColor rgb="00B7DEE8"/>
      <rgbColor rgb="00FF99CC"/>
      <rgbColor rgb="00CC99FF"/>
      <rgbColor rgb="00E6B9B8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8480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J89"/>
  <sheetViews>
    <sheetView view="pageBreakPreview" zoomScaleNormal="100" workbookViewId="0">
      <selection activeCell="J22" sqref="J22"/>
    </sheetView>
  </sheetViews>
  <sheetFormatPr defaultColWidth="8.85546875" defaultRowHeight="12.75" x14ac:dyDescent="0.2"/>
  <cols>
    <col min="1" max="2" width="8.85546875" style="27"/>
    <col min="3" max="3" width="57" style="27" customWidth="1"/>
    <col min="4" max="4" width="16" style="27" customWidth="1"/>
    <col min="5" max="7" width="8.85546875" style="27"/>
    <col min="8" max="8" width="18.85546875" style="27" customWidth="1"/>
    <col min="9" max="1024" width="8.85546875" style="27"/>
  </cols>
  <sheetData>
    <row r="3" spans="3:8" ht="25.5" x14ac:dyDescent="0.2">
      <c r="C3" s="28" t="s">
        <v>0</v>
      </c>
      <c r="D3" s="29" t="s">
        <v>1</v>
      </c>
    </row>
    <row r="4" spans="3:8" x14ac:dyDescent="0.2">
      <c r="C4" s="30" t="s">
        <v>2</v>
      </c>
      <c r="D4" s="30">
        <v>1</v>
      </c>
      <c r="H4" s="27" t="s">
        <v>3</v>
      </c>
    </row>
    <row r="5" spans="3:8" x14ac:dyDescent="0.2">
      <c r="C5" s="30" t="s">
        <v>4</v>
      </c>
      <c r="D5" s="30">
        <v>2</v>
      </c>
      <c r="H5" s="27" t="s">
        <v>5</v>
      </c>
    </row>
    <row r="6" spans="3:8" x14ac:dyDescent="0.2">
      <c r="C6" s="30" t="s">
        <v>6</v>
      </c>
      <c r="D6" s="30">
        <v>3</v>
      </c>
      <c r="H6" s="27" t="s">
        <v>7</v>
      </c>
    </row>
    <row r="7" spans="3:8" x14ac:dyDescent="0.2">
      <c r="C7" s="30" t="s">
        <v>8</v>
      </c>
      <c r="D7" s="30">
        <v>4</v>
      </c>
    </row>
    <row r="8" spans="3:8" x14ac:dyDescent="0.2">
      <c r="C8" s="30" t="s">
        <v>9</v>
      </c>
      <c r="D8" s="30">
        <v>5</v>
      </c>
    </row>
    <row r="9" spans="3:8" x14ac:dyDescent="0.2">
      <c r="C9" s="30" t="s">
        <v>10</v>
      </c>
      <c r="D9" s="30">
        <v>6</v>
      </c>
    </row>
    <row r="10" spans="3:8" x14ac:dyDescent="0.2">
      <c r="C10" s="30" t="s">
        <v>11</v>
      </c>
      <c r="D10" s="30">
        <v>7</v>
      </c>
    </row>
    <row r="11" spans="3:8" x14ac:dyDescent="0.2">
      <c r="C11" s="30" t="s">
        <v>12</v>
      </c>
      <c r="D11" s="30">
        <v>8</v>
      </c>
    </row>
    <row r="12" spans="3:8" x14ac:dyDescent="0.2">
      <c r="C12" s="30" t="s">
        <v>13</v>
      </c>
      <c r="D12" s="30">
        <v>9</v>
      </c>
    </row>
    <row r="13" spans="3:8" x14ac:dyDescent="0.2">
      <c r="C13" s="30" t="s">
        <v>14</v>
      </c>
      <c r="D13" s="30">
        <v>10</v>
      </c>
    </row>
    <row r="14" spans="3:8" x14ac:dyDescent="0.2">
      <c r="C14" s="30" t="s">
        <v>15</v>
      </c>
      <c r="D14" s="30">
        <v>11</v>
      </c>
    </row>
    <row r="15" spans="3:8" x14ac:dyDescent="0.2">
      <c r="C15" s="30" t="s">
        <v>16</v>
      </c>
      <c r="D15" s="30">
        <v>12</v>
      </c>
    </row>
    <row r="16" spans="3:8" x14ac:dyDescent="0.2">
      <c r="C16" s="30" t="s">
        <v>17</v>
      </c>
      <c r="D16" s="30">
        <v>13</v>
      </c>
    </row>
    <row r="17" spans="3:4" x14ac:dyDescent="0.2">
      <c r="C17" s="30" t="s">
        <v>18</v>
      </c>
      <c r="D17" s="30">
        <v>14</v>
      </c>
    </row>
    <row r="18" spans="3:4" x14ac:dyDescent="0.2">
      <c r="C18" s="30" t="s">
        <v>19</v>
      </c>
      <c r="D18" s="30">
        <v>15</v>
      </c>
    </row>
    <row r="19" spans="3:4" x14ac:dyDescent="0.2">
      <c r="C19" s="30" t="s">
        <v>20</v>
      </c>
      <c r="D19" s="30">
        <v>16</v>
      </c>
    </row>
    <row r="20" spans="3:4" x14ac:dyDescent="0.2">
      <c r="C20" s="30" t="s">
        <v>21</v>
      </c>
      <c r="D20" s="30">
        <v>17</v>
      </c>
    </row>
    <row r="21" spans="3:4" x14ac:dyDescent="0.2">
      <c r="C21" s="30" t="s">
        <v>22</v>
      </c>
      <c r="D21" s="30">
        <v>18</v>
      </c>
    </row>
    <row r="22" spans="3:4" x14ac:dyDescent="0.2">
      <c r="C22" s="30" t="s">
        <v>23</v>
      </c>
      <c r="D22" s="30">
        <v>19</v>
      </c>
    </row>
    <row r="23" spans="3:4" x14ac:dyDescent="0.2">
      <c r="C23" s="30" t="s">
        <v>24</v>
      </c>
      <c r="D23" s="30">
        <v>20</v>
      </c>
    </row>
    <row r="24" spans="3:4" x14ac:dyDescent="0.2">
      <c r="C24" s="30" t="s">
        <v>25</v>
      </c>
      <c r="D24" s="30">
        <v>21</v>
      </c>
    </row>
    <row r="25" spans="3:4" x14ac:dyDescent="0.2">
      <c r="C25" s="30" t="s">
        <v>26</v>
      </c>
      <c r="D25" s="30">
        <v>22</v>
      </c>
    </row>
    <row r="26" spans="3:4" x14ac:dyDescent="0.2">
      <c r="C26" s="30" t="s">
        <v>27</v>
      </c>
      <c r="D26" s="30">
        <v>23</v>
      </c>
    </row>
    <row r="27" spans="3:4" x14ac:dyDescent="0.2">
      <c r="C27" s="30" t="s">
        <v>28</v>
      </c>
      <c r="D27" s="30">
        <v>24</v>
      </c>
    </row>
    <row r="28" spans="3:4" x14ac:dyDescent="0.2">
      <c r="C28" s="30" t="s">
        <v>29</v>
      </c>
      <c r="D28" s="30">
        <v>25</v>
      </c>
    </row>
    <row r="29" spans="3:4" x14ac:dyDescent="0.2">
      <c r="C29" s="30" t="s">
        <v>30</v>
      </c>
      <c r="D29" s="30">
        <v>26</v>
      </c>
    </row>
    <row r="30" spans="3:4" x14ac:dyDescent="0.2">
      <c r="C30" s="30" t="s">
        <v>31</v>
      </c>
      <c r="D30" s="30">
        <v>27</v>
      </c>
    </row>
    <row r="31" spans="3:4" x14ac:dyDescent="0.2">
      <c r="C31" s="30" t="s">
        <v>32</v>
      </c>
      <c r="D31" s="30">
        <v>28</v>
      </c>
    </row>
    <row r="32" spans="3:4" x14ac:dyDescent="0.2">
      <c r="C32" s="30" t="s">
        <v>33</v>
      </c>
      <c r="D32" s="30">
        <v>29</v>
      </c>
    </row>
    <row r="33" spans="3:4" x14ac:dyDescent="0.2">
      <c r="C33" s="30" t="s">
        <v>34</v>
      </c>
      <c r="D33" s="30">
        <v>30</v>
      </c>
    </row>
    <row r="34" spans="3:4" x14ac:dyDescent="0.2">
      <c r="C34" s="30" t="s">
        <v>35</v>
      </c>
      <c r="D34" s="30">
        <v>31</v>
      </c>
    </row>
    <row r="35" spans="3:4" x14ac:dyDescent="0.2">
      <c r="C35" s="30" t="s">
        <v>36</v>
      </c>
      <c r="D35" s="30">
        <v>32</v>
      </c>
    </row>
    <row r="36" spans="3:4" x14ac:dyDescent="0.2">
      <c r="C36" s="30" t="s">
        <v>37</v>
      </c>
      <c r="D36" s="30">
        <v>33</v>
      </c>
    </row>
    <row r="37" spans="3:4" x14ac:dyDescent="0.2">
      <c r="C37" s="30" t="s">
        <v>38</v>
      </c>
      <c r="D37" s="30">
        <v>34</v>
      </c>
    </row>
    <row r="38" spans="3:4" x14ac:dyDescent="0.2">
      <c r="C38" s="30" t="s">
        <v>39</v>
      </c>
      <c r="D38" s="30">
        <v>35</v>
      </c>
    </row>
    <row r="39" spans="3:4" x14ac:dyDescent="0.2">
      <c r="C39" s="30" t="s">
        <v>40</v>
      </c>
      <c r="D39" s="30">
        <v>36</v>
      </c>
    </row>
    <row r="40" spans="3:4" x14ac:dyDescent="0.2">
      <c r="C40" s="30" t="s">
        <v>41</v>
      </c>
      <c r="D40" s="30">
        <v>37</v>
      </c>
    </row>
    <row r="41" spans="3:4" x14ac:dyDescent="0.2">
      <c r="C41" s="30" t="s">
        <v>42</v>
      </c>
      <c r="D41" s="30">
        <v>38</v>
      </c>
    </row>
    <row r="42" spans="3:4" x14ac:dyDescent="0.2">
      <c r="C42" s="30" t="s">
        <v>43</v>
      </c>
      <c r="D42" s="30">
        <v>39</v>
      </c>
    </row>
    <row r="43" spans="3:4" x14ac:dyDescent="0.2">
      <c r="C43" s="30" t="s">
        <v>44</v>
      </c>
      <c r="D43" s="30">
        <v>40</v>
      </c>
    </row>
    <row r="44" spans="3:4" x14ac:dyDescent="0.2">
      <c r="C44" s="30" t="s">
        <v>45</v>
      </c>
      <c r="D44" s="30">
        <v>41</v>
      </c>
    </row>
    <row r="45" spans="3:4" x14ac:dyDescent="0.2">
      <c r="C45" s="30" t="s">
        <v>46</v>
      </c>
      <c r="D45" s="30">
        <v>42</v>
      </c>
    </row>
    <row r="46" spans="3:4" x14ac:dyDescent="0.2">
      <c r="C46" s="30" t="s">
        <v>47</v>
      </c>
      <c r="D46" s="30">
        <v>43</v>
      </c>
    </row>
    <row r="47" spans="3:4" x14ac:dyDescent="0.2">
      <c r="C47" s="30" t="s">
        <v>48</v>
      </c>
      <c r="D47" s="30">
        <v>44</v>
      </c>
    </row>
    <row r="48" spans="3:4" x14ac:dyDescent="0.2">
      <c r="C48" s="30" t="s">
        <v>49</v>
      </c>
      <c r="D48" s="30">
        <v>45</v>
      </c>
    </row>
    <row r="49" spans="3:4" x14ac:dyDescent="0.2">
      <c r="C49" s="30" t="s">
        <v>50</v>
      </c>
      <c r="D49" s="30">
        <v>46</v>
      </c>
    </row>
    <row r="50" spans="3:4" x14ac:dyDescent="0.2">
      <c r="C50" s="30" t="s">
        <v>51</v>
      </c>
      <c r="D50" s="30">
        <v>47</v>
      </c>
    </row>
    <row r="51" spans="3:4" x14ac:dyDescent="0.2">
      <c r="C51" s="30" t="s">
        <v>52</v>
      </c>
      <c r="D51" s="30">
        <v>48</v>
      </c>
    </row>
    <row r="52" spans="3:4" x14ac:dyDescent="0.2">
      <c r="C52" s="30" t="s">
        <v>53</v>
      </c>
      <c r="D52" s="30">
        <v>49</v>
      </c>
    </row>
    <row r="53" spans="3:4" x14ac:dyDescent="0.2">
      <c r="C53" s="30" t="s">
        <v>54</v>
      </c>
      <c r="D53" s="30">
        <v>50</v>
      </c>
    </row>
    <row r="54" spans="3:4" x14ac:dyDescent="0.2">
      <c r="C54" s="30" t="s">
        <v>55</v>
      </c>
      <c r="D54" s="30">
        <v>51</v>
      </c>
    </row>
    <row r="55" spans="3:4" x14ac:dyDescent="0.2">
      <c r="C55" s="30" t="s">
        <v>56</v>
      </c>
      <c r="D55" s="30">
        <v>52</v>
      </c>
    </row>
    <row r="56" spans="3:4" x14ac:dyDescent="0.2">
      <c r="C56" s="30" t="s">
        <v>57</v>
      </c>
      <c r="D56" s="30">
        <v>53</v>
      </c>
    </row>
    <row r="57" spans="3:4" x14ac:dyDescent="0.2">
      <c r="C57" s="30" t="s">
        <v>58</v>
      </c>
      <c r="D57" s="30">
        <v>54</v>
      </c>
    </row>
    <row r="58" spans="3:4" x14ac:dyDescent="0.2">
      <c r="C58" s="30" t="s">
        <v>59</v>
      </c>
      <c r="D58" s="30">
        <v>55</v>
      </c>
    </row>
    <row r="59" spans="3:4" x14ac:dyDescent="0.2">
      <c r="C59" s="30" t="s">
        <v>60</v>
      </c>
      <c r="D59" s="30">
        <v>56</v>
      </c>
    </row>
    <row r="60" spans="3:4" x14ac:dyDescent="0.2">
      <c r="C60" s="30" t="s">
        <v>61</v>
      </c>
      <c r="D60" s="30">
        <v>57</v>
      </c>
    </row>
    <row r="61" spans="3:4" x14ac:dyDescent="0.2">
      <c r="C61" s="30" t="s">
        <v>62</v>
      </c>
      <c r="D61" s="30">
        <v>58</v>
      </c>
    </row>
    <row r="62" spans="3:4" x14ac:dyDescent="0.2">
      <c r="C62" s="30" t="s">
        <v>63</v>
      </c>
      <c r="D62" s="30">
        <v>59</v>
      </c>
    </row>
    <row r="63" spans="3:4" x14ac:dyDescent="0.2">
      <c r="C63" s="30" t="s">
        <v>64</v>
      </c>
      <c r="D63" s="30">
        <v>60</v>
      </c>
    </row>
    <row r="64" spans="3:4" x14ac:dyDescent="0.2">
      <c r="C64" s="30" t="s">
        <v>65</v>
      </c>
      <c r="D64" s="30">
        <v>61</v>
      </c>
    </row>
    <row r="65" spans="3:4" x14ac:dyDescent="0.2">
      <c r="C65" s="30" t="s">
        <v>66</v>
      </c>
      <c r="D65" s="30">
        <v>62</v>
      </c>
    </row>
    <row r="66" spans="3:4" x14ac:dyDescent="0.2">
      <c r="C66" s="30" t="s">
        <v>67</v>
      </c>
      <c r="D66" s="30">
        <v>63</v>
      </c>
    </row>
    <row r="67" spans="3:4" x14ac:dyDescent="0.2">
      <c r="C67" s="30" t="s">
        <v>68</v>
      </c>
      <c r="D67" s="30">
        <v>64</v>
      </c>
    </row>
    <row r="68" spans="3:4" x14ac:dyDescent="0.2">
      <c r="C68" s="30" t="s">
        <v>69</v>
      </c>
      <c r="D68" s="30">
        <v>65</v>
      </c>
    </row>
    <row r="69" spans="3:4" x14ac:dyDescent="0.2">
      <c r="C69" s="30" t="s">
        <v>70</v>
      </c>
      <c r="D69" s="30">
        <v>66</v>
      </c>
    </row>
    <row r="70" spans="3:4" x14ac:dyDescent="0.2">
      <c r="C70" s="30" t="s">
        <v>71</v>
      </c>
      <c r="D70" s="30">
        <v>67</v>
      </c>
    </row>
    <row r="71" spans="3:4" x14ac:dyDescent="0.2">
      <c r="C71" s="30" t="s">
        <v>72</v>
      </c>
      <c r="D71" s="30">
        <v>68</v>
      </c>
    </row>
    <row r="72" spans="3:4" x14ac:dyDescent="0.2">
      <c r="C72" s="30" t="s">
        <v>73</v>
      </c>
      <c r="D72" s="30">
        <v>69</v>
      </c>
    </row>
    <row r="73" spans="3:4" x14ac:dyDescent="0.2">
      <c r="C73" s="30" t="s">
        <v>74</v>
      </c>
      <c r="D73" s="30">
        <v>70</v>
      </c>
    </row>
    <row r="74" spans="3:4" x14ac:dyDescent="0.2">
      <c r="C74" s="30" t="s">
        <v>75</v>
      </c>
      <c r="D74" s="30">
        <v>71</v>
      </c>
    </row>
    <row r="75" spans="3:4" x14ac:dyDescent="0.2">
      <c r="C75" s="30" t="s">
        <v>76</v>
      </c>
      <c r="D75" s="30">
        <v>72</v>
      </c>
    </row>
    <row r="76" spans="3:4" x14ac:dyDescent="0.2">
      <c r="C76" s="30" t="s">
        <v>77</v>
      </c>
      <c r="D76" s="30">
        <v>73</v>
      </c>
    </row>
    <row r="77" spans="3:4" x14ac:dyDescent="0.2">
      <c r="C77" s="30" t="s">
        <v>78</v>
      </c>
      <c r="D77" s="30">
        <v>74</v>
      </c>
    </row>
    <row r="78" spans="3:4" x14ac:dyDescent="0.2">
      <c r="C78" s="30" t="s">
        <v>79</v>
      </c>
      <c r="D78" s="30">
        <v>75</v>
      </c>
    </row>
    <row r="79" spans="3:4" x14ac:dyDescent="0.2">
      <c r="C79" s="30" t="s">
        <v>80</v>
      </c>
      <c r="D79" s="30">
        <v>76</v>
      </c>
    </row>
    <row r="80" spans="3:4" x14ac:dyDescent="0.2">
      <c r="C80" s="30" t="s">
        <v>81</v>
      </c>
      <c r="D80" s="30">
        <v>77</v>
      </c>
    </row>
    <row r="81" spans="3:4" x14ac:dyDescent="0.2">
      <c r="C81" s="30" t="s">
        <v>82</v>
      </c>
      <c r="D81" s="30">
        <v>78</v>
      </c>
    </row>
    <row r="82" spans="3:4" x14ac:dyDescent="0.2">
      <c r="C82" s="30" t="s">
        <v>83</v>
      </c>
      <c r="D82" s="30">
        <v>79</v>
      </c>
    </row>
    <row r="83" spans="3:4" x14ac:dyDescent="0.2">
      <c r="C83" s="30" t="s">
        <v>84</v>
      </c>
      <c r="D83" s="30">
        <v>83</v>
      </c>
    </row>
    <row r="84" spans="3:4" x14ac:dyDescent="0.2">
      <c r="C84" s="30" t="s">
        <v>85</v>
      </c>
      <c r="D84" s="30">
        <v>86</v>
      </c>
    </row>
    <row r="85" spans="3:4" x14ac:dyDescent="0.2">
      <c r="C85" s="30" t="s">
        <v>86</v>
      </c>
      <c r="D85" s="30">
        <v>87</v>
      </c>
    </row>
    <row r="86" spans="3:4" x14ac:dyDescent="0.2">
      <c r="C86" s="30" t="s">
        <v>87</v>
      </c>
      <c r="D86" s="30">
        <v>89</v>
      </c>
    </row>
    <row r="87" spans="3:4" x14ac:dyDescent="0.2">
      <c r="C87" s="30" t="s">
        <v>88</v>
      </c>
      <c r="D87" s="30">
        <v>91</v>
      </c>
    </row>
    <row r="88" spans="3:4" x14ac:dyDescent="0.2">
      <c r="C88" s="30" t="s">
        <v>89</v>
      </c>
      <c r="D88" s="30">
        <v>92</v>
      </c>
    </row>
    <row r="89" spans="3:4" x14ac:dyDescent="0.2">
      <c r="C89" s="30" t="s">
        <v>90</v>
      </c>
      <c r="D89" s="30">
        <v>99</v>
      </c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MJ26"/>
  <sheetViews>
    <sheetView view="pageBreakPreview" zoomScaleNormal="100" workbookViewId="0">
      <selection activeCell="B3" sqref="B3"/>
    </sheetView>
  </sheetViews>
  <sheetFormatPr defaultColWidth="8.85546875" defaultRowHeight="13.5" x14ac:dyDescent="0.25"/>
  <cols>
    <col min="1" max="2" width="39.42578125" style="1" customWidth="1"/>
    <col min="3" max="4" width="9.7109375" style="1" customWidth="1"/>
    <col min="5" max="5" width="10.140625" style="1" customWidth="1"/>
    <col min="6" max="1024" width="8.85546875" style="1"/>
  </cols>
  <sheetData>
    <row r="2" spans="1:12" ht="17.45" customHeight="1" x14ac:dyDescent="0.25">
      <c r="A2" s="23" t="s">
        <v>91</v>
      </c>
      <c r="B2" s="24">
        <v>46055</v>
      </c>
      <c r="H2" s="32"/>
      <c r="I2" s="32"/>
      <c r="J2" s="32"/>
      <c r="K2" s="32"/>
      <c r="L2" s="32"/>
    </row>
    <row r="3" spans="1:12" ht="17.45" customHeight="1" x14ac:dyDescent="0.25">
      <c r="A3" s="8" t="s">
        <v>92</v>
      </c>
      <c r="B3" s="25" t="s">
        <v>93</v>
      </c>
    </row>
    <row r="4" spans="1:12" ht="17.45" customHeight="1" x14ac:dyDescent="0.25">
      <c r="A4" s="8" t="s">
        <v>94</v>
      </c>
      <c r="B4" s="25" t="s">
        <v>95</v>
      </c>
    </row>
    <row r="5" spans="1:12" ht="17.45" customHeight="1" x14ac:dyDescent="0.25">
      <c r="A5" s="23" t="s">
        <v>96</v>
      </c>
      <c r="B5" s="26" t="s">
        <v>18</v>
      </c>
    </row>
    <row r="6" spans="1:12" ht="17.45" customHeight="1" x14ac:dyDescent="0.25">
      <c r="A6" s="25" t="s">
        <v>97</v>
      </c>
      <c r="B6" s="25">
        <f>VLOOKUP(B5,Справочник!C4:D89,2,FALSE())</f>
        <v>14</v>
      </c>
    </row>
    <row r="9" spans="1:12" ht="20.25" x14ac:dyDescent="0.3">
      <c r="A9" s="2" t="s">
        <v>98</v>
      </c>
      <c r="H9" s="1" t="s">
        <v>99</v>
      </c>
    </row>
    <row r="11" spans="1:12" x14ac:dyDescent="0.25">
      <c r="A11" s="18" t="s">
        <v>100</v>
      </c>
    </row>
    <row r="12" spans="1:12" ht="35.450000000000003" customHeight="1" x14ac:dyDescent="0.25">
      <c r="A12" s="9" t="s">
        <v>101</v>
      </c>
      <c r="B12" s="9" t="s">
        <v>102</v>
      </c>
      <c r="C12" s="9" t="s">
        <v>103</v>
      </c>
      <c r="D12" s="9" t="s">
        <v>104</v>
      </c>
      <c r="E12" s="9" t="s">
        <v>105</v>
      </c>
    </row>
    <row r="13" spans="1:12" ht="12" customHeight="1" x14ac:dyDescent="0.25">
      <c r="A13" s="5">
        <v>1</v>
      </c>
      <c r="B13" s="5">
        <v>2</v>
      </c>
      <c r="C13" s="5">
        <v>3</v>
      </c>
      <c r="D13" s="5">
        <v>4</v>
      </c>
      <c r="E13" s="5">
        <v>5</v>
      </c>
    </row>
    <row r="14" spans="1:12" ht="17.45" customHeight="1" x14ac:dyDescent="0.25">
      <c r="A14" s="8" t="s">
        <v>106</v>
      </c>
      <c r="B14" s="8" t="s">
        <v>107</v>
      </c>
      <c r="C14" s="8"/>
      <c r="D14" s="8">
        <v>16</v>
      </c>
      <c r="E14" s="8">
        <v>16</v>
      </c>
    </row>
    <row r="15" spans="1:12" ht="17.45" customHeight="1" x14ac:dyDescent="0.25">
      <c r="A15" s="8" t="s">
        <v>108</v>
      </c>
      <c r="B15" s="8"/>
      <c r="C15" s="8"/>
      <c r="D15" s="8"/>
      <c r="E15" s="8"/>
    </row>
    <row r="16" spans="1:12" ht="17.45" customHeight="1" x14ac:dyDescent="0.25">
      <c r="A16" s="8" t="s">
        <v>109</v>
      </c>
      <c r="B16" s="8"/>
      <c r="C16" s="8"/>
      <c r="D16" s="8"/>
      <c r="E16" s="8"/>
    </row>
    <row r="17" spans="1:5" ht="17.45" customHeight="1" x14ac:dyDescent="0.25">
      <c r="A17" s="8" t="s">
        <v>110</v>
      </c>
      <c r="B17" s="8"/>
      <c r="C17" s="8"/>
      <c r="D17" s="8"/>
      <c r="E17" s="8"/>
    </row>
    <row r="18" spans="1:5" ht="17.45" customHeight="1" x14ac:dyDescent="0.25">
      <c r="A18" s="8" t="s">
        <v>111</v>
      </c>
      <c r="B18" s="8"/>
      <c r="C18" s="8"/>
      <c r="D18" s="8"/>
      <c r="E18" s="8"/>
    </row>
    <row r="19" spans="1:5" ht="17.45" customHeight="1" x14ac:dyDescent="0.25">
      <c r="A19" s="8" t="s">
        <v>112</v>
      </c>
      <c r="B19" s="8"/>
      <c r="C19" s="8"/>
      <c r="D19" s="8"/>
      <c r="E19" s="8"/>
    </row>
    <row r="21" spans="1:5" x14ac:dyDescent="0.25">
      <c r="A21" s="18" t="s">
        <v>113</v>
      </c>
    </row>
    <row r="22" spans="1:5" ht="35.450000000000003" customHeight="1" x14ac:dyDescent="0.25">
      <c r="A22" s="9" t="s">
        <v>114</v>
      </c>
      <c r="B22" s="33" t="s">
        <v>115</v>
      </c>
      <c r="C22" s="33"/>
      <c r="D22" s="33"/>
    </row>
    <row r="23" spans="1:5" ht="12" customHeight="1" x14ac:dyDescent="0.25">
      <c r="A23" s="5">
        <v>1</v>
      </c>
      <c r="B23" s="34">
        <v>2</v>
      </c>
      <c r="C23" s="34"/>
      <c r="D23" s="34"/>
    </row>
    <row r="24" spans="1:5" ht="17.45" customHeight="1" x14ac:dyDescent="0.25">
      <c r="A24" s="8"/>
      <c r="B24" s="31"/>
      <c r="C24" s="31"/>
      <c r="D24" s="31"/>
    </row>
    <row r="25" spans="1:5" ht="17.45" customHeight="1" x14ac:dyDescent="0.25">
      <c r="A25" s="8"/>
      <c r="B25" s="31"/>
      <c r="C25" s="31"/>
      <c r="D25" s="31"/>
    </row>
    <row r="26" spans="1:5" ht="17.45" customHeight="1" x14ac:dyDescent="0.25">
      <c r="A26" s="8"/>
      <c r="B26" s="31"/>
      <c r="C26" s="31"/>
      <c r="D26" s="31"/>
    </row>
  </sheetData>
  <mergeCells count="6">
    <mergeCell ref="B26:D26"/>
    <mergeCell ref="H2:L2"/>
    <mergeCell ref="B22:D22"/>
    <mergeCell ref="B23:D23"/>
    <mergeCell ref="B24:D24"/>
    <mergeCell ref="B25:D25"/>
  </mergeCells>
  <dataValidations count="1">
    <dataValidation type="list" allowBlank="1" showInputMessage="1" showErrorMessage="1" sqref="B5" xr:uid="{00000000-0002-0000-0100-000000000000}">
      <formula1>SF</formula1>
    </dataValidation>
  </dataValidations>
  <pageMargins left="0.78749999999999998" right="0.78749999999999998" top="0.74791666666666701" bottom="0.74791666666666701" header="0.51180555555555496" footer="0.51180555555555496"/>
  <pageSetup paperSize="9" firstPageNumber="0"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MJ16"/>
  <sheetViews>
    <sheetView view="pageBreakPreview" zoomScale="115" zoomScaleNormal="100" workbookViewId="0">
      <selection activeCell="A16" sqref="A16"/>
    </sheetView>
  </sheetViews>
  <sheetFormatPr defaultColWidth="8.85546875" defaultRowHeight="13.5" x14ac:dyDescent="0.25"/>
  <cols>
    <col min="1" max="1" width="33.140625" style="1" customWidth="1"/>
    <col min="2" max="11" width="7.28515625" style="1" customWidth="1"/>
    <col min="12" max="1024" width="8.85546875" style="1"/>
  </cols>
  <sheetData>
    <row r="2" spans="1:11" ht="20.25" x14ac:dyDescent="0.3">
      <c r="A2" s="2" t="s">
        <v>116</v>
      </c>
    </row>
    <row r="4" spans="1:11" x14ac:dyDescent="0.25">
      <c r="A4" s="18" t="s">
        <v>117</v>
      </c>
    </row>
    <row r="5" spans="1:11" ht="16.899999999999999" customHeight="1" x14ac:dyDescent="0.25">
      <c r="A5" s="33" t="s">
        <v>118</v>
      </c>
      <c r="B5" s="33" t="s">
        <v>119</v>
      </c>
      <c r="C5" s="33"/>
      <c r="D5" s="33"/>
      <c r="E5" s="33"/>
      <c r="F5" s="33"/>
      <c r="G5" s="33" t="s">
        <v>120</v>
      </c>
      <c r="H5" s="33"/>
      <c r="I5" s="33"/>
      <c r="J5" s="33"/>
      <c r="K5" s="33"/>
    </row>
    <row r="6" spans="1:11" ht="28.9" customHeight="1" x14ac:dyDescent="0.25">
      <c r="A6" s="33"/>
      <c r="B6" s="9" t="s">
        <v>121</v>
      </c>
      <c r="C6" s="11" t="s">
        <v>122</v>
      </c>
      <c r="D6" s="11" t="s">
        <v>123</v>
      </c>
      <c r="E6" s="11" t="s">
        <v>124</v>
      </c>
      <c r="F6" s="11" t="s">
        <v>125</v>
      </c>
      <c r="G6" s="9" t="s">
        <v>121</v>
      </c>
      <c r="H6" s="11" t="s">
        <v>126</v>
      </c>
      <c r="I6" s="11" t="s">
        <v>127</v>
      </c>
      <c r="J6" s="11" t="s">
        <v>128</v>
      </c>
      <c r="K6" s="11" t="s">
        <v>129</v>
      </c>
    </row>
    <row r="7" spans="1:11" ht="12" customHeight="1" x14ac:dyDescent="0.25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</row>
    <row r="8" spans="1:11" s="17" customFormat="1" ht="30.6" customHeight="1" x14ac:dyDescent="0.25">
      <c r="A8" s="19" t="s">
        <v>176</v>
      </c>
      <c r="B8" s="20">
        <f>C8+D8+E8+F8</f>
        <v>36.36</v>
      </c>
      <c r="C8" s="20"/>
      <c r="D8" s="20">
        <f>D15*12</f>
        <v>15</v>
      </c>
      <c r="E8" s="20">
        <f t="shared" ref="E8:K9" si="0">E15*12</f>
        <v>21</v>
      </c>
      <c r="F8" s="20">
        <f t="shared" si="0"/>
        <v>0.36</v>
      </c>
      <c r="G8" s="20">
        <f>H8+I8+J8</f>
        <v>16.799999999999997</v>
      </c>
      <c r="H8" s="20">
        <f t="shared" si="0"/>
        <v>0</v>
      </c>
      <c r="I8" s="20">
        <f t="shared" si="0"/>
        <v>16.799999999999997</v>
      </c>
      <c r="J8" s="20">
        <f t="shared" si="0"/>
        <v>0</v>
      </c>
      <c r="K8" s="20">
        <f t="shared" si="0"/>
        <v>0</v>
      </c>
    </row>
    <row r="9" spans="1:11" s="17" customFormat="1" ht="30.6" customHeight="1" x14ac:dyDescent="0.25">
      <c r="A9" s="21" t="s">
        <v>130</v>
      </c>
      <c r="B9" s="20">
        <f>C9+D9+E9+F9</f>
        <v>36.36</v>
      </c>
      <c r="C9" s="20"/>
      <c r="D9" s="20">
        <f>D16*12</f>
        <v>15</v>
      </c>
      <c r="E9" s="20">
        <f t="shared" si="0"/>
        <v>21</v>
      </c>
      <c r="F9" s="20">
        <f t="shared" si="0"/>
        <v>0.36</v>
      </c>
      <c r="G9" s="20">
        <f>H9+I9+J9</f>
        <v>16.799999999999997</v>
      </c>
      <c r="H9" s="20">
        <f>H16*12</f>
        <v>0</v>
      </c>
      <c r="I9" s="20">
        <f t="shared" ref="I9:K9" si="1">I16*12</f>
        <v>16.799999999999997</v>
      </c>
      <c r="J9" s="20">
        <f t="shared" si="1"/>
        <v>0</v>
      </c>
      <c r="K9" s="20">
        <f t="shared" si="1"/>
        <v>0</v>
      </c>
    </row>
    <row r="11" spans="1:11" x14ac:dyDescent="0.25">
      <c r="A11" s="18" t="s">
        <v>131</v>
      </c>
    </row>
    <row r="12" spans="1:11" ht="16.899999999999999" customHeight="1" x14ac:dyDescent="0.25">
      <c r="A12" s="33" t="s">
        <v>118</v>
      </c>
      <c r="B12" s="33" t="s">
        <v>119</v>
      </c>
      <c r="C12" s="33"/>
      <c r="D12" s="33"/>
      <c r="E12" s="33"/>
      <c r="F12" s="33"/>
      <c r="G12" s="33" t="s">
        <v>120</v>
      </c>
      <c r="H12" s="33"/>
      <c r="I12" s="33"/>
      <c r="J12" s="33"/>
      <c r="K12" s="33"/>
    </row>
    <row r="13" spans="1:11" ht="28.9" customHeight="1" x14ac:dyDescent="0.25">
      <c r="A13" s="33"/>
      <c r="B13" s="9" t="s">
        <v>121</v>
      </c>
      <c r="C13" s="11" t="s">
        <v>122</v>
      </c>
      <c r="D13" s="11" t="s">
        <v>123</v>
      </c>
      <c r="E13" s="11" t="s">
        <v>124</v>
      </c>
      <c r="F13" s="11" t="s">
        <v>125</v>
      </c>
      <c r="G13" s="9" t="s">
        <v>121</v>
      </c>
      <c r="H13" s="11" t="s">
        <v>126</v>
      </c>
      <c r="I13" s="11" t="s">
        <v>127</v>
      </c>
      <c r="J13" s="11" t="s">
        <v>128</v>
      </c>
      <c r="K13" s="11" t="s">
        <v>129</v>
      </c>
    </row>
    <row r="14" spans="1:11" ht="12" customHeight="1" x14ac:dyDescent="0.25">
      <c r="A14" s="12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  <c r="G14" s="12">
        <v>7</v>
      </c>
      <c r="H14" s="12">
        <v>8</v>
      </c>
      <c r="I14" s="12">
        <v>9</v>
      </c>
      <c r="J14" s="12">
        <v>10</v>
      </c>
      <c r="K14" s="12">
        <v>11</v>
      </c>
    </row>
    <row r="15" spans="1:11" s="17" customFormat="1" ht="30.6" customHeight="1" x14ac:dyDescent="0.25">
      <c r="A15" s="22" t="s">
        <v>177</v>
      </c>
      <c r="B15" s="20">
        <v>3.03</v>
      </c>
      <c r="C15" s="20"/>
      <c r="D15" s="20">
        <v>1.25</v>
      </c>
      <c r="E15" s="20">
        <v>1.75</v>
      </c>
      <c r="F15" s="20">
        <v>0.03</v>
      </c>
      <c r="G15" s="20">
        <v>1.4</v>
      </c>
      <c r="H15" s="20"/>
      <c r="I15" s="20">
        <v>1.4</v>
      </c>
      <c r="J15" s="20"/>
      <c r="K15" s="20"/>
    </row>
    <row r="16" spans="1:11" s="17" customFormat="1" ht="30.6" customHeight="1" x14ac:dyDescent="0.25">
      <c r="A16" s="19" t="s">
        <v>130</v>
      </c>
      <c r="B16" s="20">
        <f>B15</f>
        <v>3.03</v>
      </c>
      <c r="C16" s="20"/>
      <c r="D16" s="20">
        <f t="shared" ref="D16:K16" si="2">D15</f>
        <v>1.25</v>
      </c>
      <c r="E16" s="20">
        <f t="shared" si="2"/>
        <v>1.75</v>
      </c>
      <c r="F16" s="20">
        <f t="shared" si="2"/>
        <v>0.03</v>
      </c>
      <c r="G16" s="20">
        <f>G15</f>
        <v>1.4</v>
      </c>
      <c r="H16" s="20">
        <f t="shared" si="2"/>
        <v>0</v>
      </c>
      <c r="I16" s="20">
        <f t="shared" si="2"/>
        <v>1.4</v>
      </c>
      <c r="J16" s="20">
        <f t="shared" si="2"/>
        <v>0</v>
      </c>
      <c r="K16" s="20">
        <f t="shared" si="2"/>
        <v>0</v>
      </c>
    </row>
  </sheetData>
  <mergeCells count="6">
    <mergeCell ref="B5:F5"/>
    <mergeCell ref="G5:K5"/>
    <mergeCell ref="B12:F12"/>
    <mergeCell ref="G12:K12"/>
    <mergeCell ref="A5:A6"/>
    <mergeCell ref="A12:A13"/>
  </mergeCells>
  <pageMargins left="0.98402777777777795" right="0.98402777777777795" top="0.74791666666666701" bottom="0.74791666666666701" header="0.51180555555555496" footer="0.51180555555555496"/>
  <pageSetup paperSize="9" firstPageNumber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MJ15"/>
  <sheetViews>
    <sheetView view="pageBreakPreview" zoomScaleNormal="100" zoomScaleSheetLayoutView="100" zoomScalePageLayoutView="85" workbookViewId="0">
      <selection activeCell="R9" sqref="R9"/>
    </sheetView>
  </sheetViews>
  <sheetFormatPr defaultColWidth="8.85546875" defaultRowHeight="13.5" x14ac:dyDescent="0.25"/>
  <cols>
    <col min="1" max="1" width="35.28515625" style="1" customWidth="1"/>
    <col min="2" max="2" width="18.85546875" style="1" customWidth="1"/>
    <col min="3" max="3" width="27.140625" style="1" customWidth="1"/>
    <col min="4" max="27" width="5.28515625" style="1" customWidth="1"/>
    <col min="28" max="1024" width="8.85546875" style="1"/>
  </cols>
  <sheetData>
    <row r="2" spans="1:27" ht="49.15" customHeight="1" x14ac:dyDescent="0.25">
      <c r="A2" s="35" t="s">
        <v>132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4" spans="1:27" x14ac:dyDescent="0.25">
      <c r="A4" s="1" t="s">
        <v>133</v>
      </c>
    </row>
    <row r="5" spans="1:27" ht="20.45" customHeight="1" x14ac:dyDescent="0.25">
      <c r="A5" s="33" t="s">
        <v>134</v>
      </c>
      <c r="B5" s="33" t="s">
        <v>102</v>
      </c>
      <c r="C5" s="33" t="s">
        <v>135</v>
      </c>
      <c r="D5" s="36" t="s">
        <v>136</v>
      </c>
      <c r="E5" s="36"/>
      <c r="F5" s="36"/>
      <c r="G5" s="36"/>
      <c r="H5" s="36"/>
      <c r="I5" s="36"/>
      <c r="J5" s="36"/>
      <c r="K5" s="36"/>
      <c r="L5" s="37" t="s">
        <v>137</v>
      </c>
      <c r="M5" s="37"/>
      <c r="N5" s="37"/>
      <c r="O5" s="37"/>
      <c r="P5" s="37"/>
      <c r="Q5" s="37"/>
      <c r="R5" s="37"/>
      <c r="S5" s="37"/>
      <c r="T5" s="37" t="s">
        <v>138</v>
      </c>
      <c r="U5" s="37"/>
      <c r="V5" s="37"/>
      <c r="W5" s="37"/>
      <c r="X5" s="37"/>
      <c r="Y5" s="37"/>
      <c r="Z5" s="37"/>
      <c r="AA5" s="37"/>
    </row>
    <row r="6" spans="1:27" ht="20.45" customHeight="1" x14ac:dyDescent="0.25">
      <c r="A6" s="33"/>
      <c r="B6" s="33"/>
      <c r="C6" s="33"/>
      <c r="D6" s="36" t="s">
        <v>119</v>
      </c>
      <c r="E6" s="36"/>
      <c r="F6" s="36"/>
      <c r="G6" s="36"/>
      <c r="H6" s="36" t="s">
        <v>139</v>
      </c>
      <c r="I6" s="36"/>
      <c r="J6" s="36"/>
      <c r="K6" s="36"/>
      <c r="L6" s="36" t="s">
        <v>119</v>
      </c>
      <c r="M6" s="36"/>
      <c r="N6" s="36"/>
      <c r="O6" s="36"/>
      <c r="P6" s="36" t="s">
        <v>139</v>
      </c>
      <c r="Q6" s="36"/>
      <c r="R6" s="36"/>
      <c r="S6" s="36"/>
      <c r="T6" s="36" t="s">
        <v>119</v>
      </c>
      <c r="U6" s="36"/>
      <c r="V6" s="36"/>
      <c r="W6" s="36"/>
      <c r="X6" s="36" t="s">
        <v>139</v>
      </c>
      <c r="Y6" s="36"/>
      <c r="Z6" s="36"/>
      <c r="AA6" s="36"/>
    </row>
    <row r="7" spans="1:27" ht="27.75" customHeight="1" x14ac:dyDescent="0.25">
      <c r="A7" s="33"/>
      <c r="B7" s="33"/>
      <c r="C7" s="33"/>
      <c r="D7" s="11" t="s">
        <v>122</v>
      </c>
      <c r="E7" s="11" t="s">
        <v>123</v>
      </c>
      <c r="F7" s="11" t="s">
        <v>124</v>
      </c>
      <c r="G7" s="11" t="s">
        <v>125</v>
      </c>
      <c r="H7" s="11" t="s">
        <v>126</v>
      </c>
      <c r="I7" s="11" t="s">
        <v>127</v>
      </c>
      <c r="J7" s="11" t="s">
        <v>128</v>
      </c>
      <c r="K7" s="11" t="s">
        <v>129</v>
      </c>
      <c r="L7" s="11" t="s">
        <v>122</v>
      </c>
      <c r="M7" s="11" t="s">
        <v>123</v>
      </c>
      <c r="N7" s="11" t="s">
        <v>124</v>
      </c>
      <c r="O7" s="11" t="s">
        <v>125</v>
      </c>
      <c r="P7" s="11" t="s">
        <v>126</v>
      </c>
      <c r="Q7" s="11" t="s">
        <v>127</v>
      </c>
      <c r="R7" s="11" t="s">
        <v>128</v>
      </c>
      <c r="S7" s="11" t="s">
        <v>129</v>
      </c>
      <c r="T7" s="11" t="s">
        <v>122</v>
      </c>
      <c r="U7" s="11" t="s">
        <v>123</v>
      </c>
      <c r="V7" s="11" t="s">
        <v>124</v>
      </c>
      <c r="W7" s="11" t="s">
        <v>125</v>
      </c>
      <c r="X7" s="11" t="s">
        <v>126</v>
      </c>
      <c r="Y7" s="11" t="s">
        <v>127</v>
      </c>
      <c r="Z7" s="11" t="s">
        <v>128</v>
      </c>
      <c r="AA7" s="11" t="s">
        <v>129</v>
      </c>
    </row>
    <row r="8" spans="1:27" ht="12" customHeight="1" x14ac:dyDescent="0.25">
      <c r="A8" s="16">
        <v>1</v>
      </c>
      <c r="B8" s="16">
        <v>2</v>
      </c>
      <c r="C8" s="16">
        <v>3</v>
      </c>
      <c r="D8" s="16">
        <v>4</v>
      </c>
      <c r="E8" s="16">
        <v>5</v>
      </c>
      <c r="F8" s="16">
        <v>6</v>
      </c>
      <c r="G8" s="16">
        <v>7</v>
      </c>
      <c r="H8" s="16">
        <v>8</v>
      </c>
      <c r="I8" s="16">
        <v>9</v>
      </c>
      <c r="J8" s="16">
        <v>10</v>
      </c>
      <c r="K8" s="16">
        <v>11</v>
      </c>
      <c r="L8" s="16">
        <v>12</v>
      </c>
      <c r="M8" s="16">
        <v>13</v>
      </c>
      <c r="N8" s="16">
        <v>14</v>
      </c>
      <c r="O8" s="16">
        <v>15</v>
      </c>
      <c r="P8" s="16">
        <v>16</v>
      </c>
      <c r="Q8" s="16">
        <v>17</v>
      </c>
      <c r="R8" s="16">
        <v>18</v>
      </c>
      <c r="S8" s="16">
        <v>19</v>
      </c>
      <c r="T8" s="16">
        <v>20</v>
      </c>
      <c r="U8" s="16">
        <v>21</v>
      </c>
      <c r="V8" s="16">
        <v>22</v>
      </c>
      <c r="W8" s="16">
        <v>23</v>
      </c>
      <c r="X8" s="16">
        <v>24</v>
      </c>
      <c r="Y8" s="16">
        <v>25</v>
      </c>
      <c r="Z8" s="16">
        <v>26</v>
      </c>
      <c r="AA8" s="16">
        <v>27</v>
      </c>
    </row>
    <row r="9" spans="1:27" ht="13.15" customHeight="1" x14ac:dyDescent="0.25">
      <c r="A9" s="8" t="s">
        <v>106</v>
      </c>
      <c r="B9" s="8" t="s">
        <v>107</v>
      </c>
      <c r="C9" s="8" t="s">
        <v>174</v>
      </c>
      <c r="D9" s="8"/>
      <c r="E9" s="8">
        <v>0.39</v>
      </c>
      <c r="F9" s="13">
        <v>0.36599999999999999</v>
      </c>
      <c r="G9" s="8">
        <v>0.161</v>
      </c>
      <c r="I9" s="8">
        <v>0.28699999999999998</v>
      </c>
      <c r="J9" s="13"/>
      <c r="L9" s="8"/>
      <c r="M9" s="8">
        <v>1.516</v>
      </c>
      <c r="N9" s="8">
        <v>1.2070000000000001</v>
      </c>
      <c r="O9" s="8"/>
      <c r="P9" s="13">
        <v>1.341</v>
      </c>
      <c r="Q9" s="13">
        <v>0.42499999999999999</v>
      </c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3.15" customHeight="1" x14ac:dyDescent="0.25">
      <c r="A10" s="8" t="s">
        <v>108</v>
      </c>
      <c r="B10" s="8"/>
      <c r="C10" s="8" t="s">
        <v>140</v>
      </c>
      <c r="D10" s="8"/>
      <c r="E10" s="8">
        <v>5.2999999999999999E-2</v>
      </c>
      <c r="F10" s="13">
        <v>8.6999999999999994E-2</v>
      </c>
      <c r="G10" s="8"/>
      <c r="H10" s="8">
        <v>1.7000000000000001E-2</v>
      </c>
      <c r="I10" s="8">
        <v>0.41599999999999998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3.15" customHeight="1" x14ac:dyDescent="0.25">
      <c r="A11" s="8" t="s">
        <v>109</v>
      </c>
      <c r="B11" s="8"/>
      <c r="C11" s="8" t="s">
        <v>141</v>
      </c>
      <c r="D11" s="8"/>
      <c r="E11" s="8"/>
      <c r="F11" s="8"/>
      <c r="G11" s="8"/>
      <c r="H11" s="8"/>
      <c r="I11" s="8">
        <v>4.0000000000000001E-3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3.15" customHeight="1" x14ac:dyDescent="0.25">
      <c r="A12" s="8" t="s">
        <v>110</v>
      </c>
      <c r="B12" s="8"/>
      <c r="C12" s="8" t="s">
        <v>142</v>
      </c>
      <c r="D12" s="8"/>
      <c r="E12" s="8">
        <v>1.0649999999999999</v>
      </c>
      <c r="F12" s="8">
        <v>0.92200000000000004</v>
      </c>
      <c r="G12" s="8">
        <v>3.0000000000000001E-3</v>
      </c>
      <c r="H12" s="8">
        <v>0.129</v>
      </c>
      <c r="I12" s="8">
        <v>0.20100000000000001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3.1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3.1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3.1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</sheetData>
  <mergeCells count="13">
    <mergeCell ref="A2:AA2"/>
    <mergeCell ref="D5:K5"/>
    <mergeCell ref="L5:S5"/>
    <mergeCell ref="T5:AA5"/>
    <mergeCell ref="D6:G6"/>
    <mergeCell ref="H6:K6"/>
    <mergeCell ref="L6:O6"/>
    <mergeCell ref="P6:S6"/>
    <mergeCell ref="T6:W6"/>
    <mergeCell ref="X6:AA6"/>
    <mergeCell ref="A5:A7"/>
    <mergeCell ref="B5:B7"/>
    <mergeCell ref="C5:C7"/>
  </mergeCells>
  <pageMargins left="0.196527777777778" right="0.196527777777778" top="0.74791666666666701" bottom="0.74791666666666701" header="0.51180555555555496" footer="0.51180555555555496"/>
  <pageSetup paperSize="9" scale="70" firstPageNumber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J14"/>
  <sheetViews>
    <sheetView view="pageBreakPreview" zoomScaleNormal="100" workbookViewId="0">
      <selection activeCell="G9" sqref="G9"/>
    </sheetView>
  </sheetViews>
  <sheetFormatPr defaultColWidth="8.85546875" defaultRowHeight="13.5" x14ac:dyDescent="0.25"/>
  <cols>
    <col min="1" max="2" width="22" style="1" customWidth="1"/>
    <col min="3" max="3" width="13.5703125" style="1" customWidth="1"/>
    <col min="4" max="4" width="13.7109375" style="1" customWidth="1"/>
    <col min="5" max="12" width="6.7109375" style="1" customWidth="1"/>
    <col min="13" max="1024" width="8.85546875" style="1"/>
  </cols>
  <sheetData>
    <row r="2" spans="1:12" ht="20.25" x14ac:dyDescent="0.3">
      <c r="A2" s="2" t="s">
        <v>143</v>
      </c>
      <c r="B2" s="3"/>
    </row>
    <row r="4" spans="1:12" x14ac:dyDescent="0.25">
      <c r="A4" s="1" t="s">
        <v>144</v>
      </c>
    </row>
    <row r="5" spans="1:12" ht="20.45" customHeight="1" x14ac:dyDescent="0.25">
      <c r="A5" s="33" t="s">
        <v>145</v>
      </c>
      <c r="B5" s="33" t="s">
        <v>102</v>
      </c>
      <c r="C5" s="33" t="s">
        <v>146</v>
      </c>
      <c r="D5" s="33" t="s">
        <v>147</v>
      </c>
      <c r="E5" s="36" t="s">
        <v>148</v>
      </c>
      <c r="F5" s="36"/>
      <c r="G5" s="36"/>
      <c r="H5" s="36"/>
      <c r="I5" s="36"/>
      <c r="J5" s="36"/>
      <c r="K5" s="36"/>
      <c r="L5" s="36"/>
    </row>
    <row r="6" spans="1:12" ht="20.45" customHeight="1" x14ac:dyDescent="0.25">
      <c r="A6" s="33"/>
      <c r="B6" s="33"/>
      <c r="C6" s="33"/>
      <c r="D6" s="33"/>
      <c r="E6" s="36" t="s">
        <v>119</v>
      </c>
      <c r="F6" s="36"/>
      <c r="G6" s="36"/>
      <c r="H6" s="36"/>
      <c r="I6" s="36" t="s">
        <v>139</v>
      </c>
      <c r="J6" s="36"/>
      <c r="K6" s="36"/>
      <c r="L6" s="36"/>
    </row>
    <row r="7" spans="1:12" ht="27" customHeight="1" x14ac:dyDescent="0.25">
      <c r="A7" s="33"/>
      <c r="B7" s="33"/>
      <c r="C7" s="33"/>
      <c r="D7" s="33"/>
      <c r="E7" s="11" t="s">
        <v>122</v>
      </c>
      <c r="F7" s="11" t="s">
        <v>123</v>
      </c>
      <c r="G7" s="11" t="s">
        <v>124</v>
      </c>
      <c r="H7" s="11" t="s">
        <v>125</v>
      </c>
      <c r="I7" s="11" t="s">
        <v>126</v>
      </c>
      <c r="J7" s="11" t="s">
        <v>127</v>
      </c>
      <c r="K7" s="11" t="s">
        <v>128</v>
      </c>
      <c r="L7" s="11" t="s">
        <v>129</v>
      </c>
    </row>
    <row r="8" spans="1:12" ht="12" customHeight="1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4">
        <v>12</v>
      </c>
    </row>
    <row r="9" spans="1:12" ht="17.45" customHeight="1" x14ac:dyDescent="0.25">
      <c r="A9" s="8" t="s">
        <v>107</v>
      </c>
      <c r="B9" s="8" t="s">
        <v>106</v>
      </c>
      <c r="C9" s="8" t="s">
        <v>149</v>
      </c>
      <c r="D9" s="15" t="s">
        <v>175</v>
      </c>
      <c r="E9" s="8"/>
      <c r="F9" s="8">
        <v>2</v>
      </c>
      <c r="G9" s="8">
        <v>3</v>
      </c>
      <c r="H9" s="8"/>
      <c r="I9" s="8"/>
      <c r="J9" s="8">
        <v>0.9</v>
      </c>
      <c r="K9" s="8"/>
      <c r="L9" s="8"/>
    </row>
    <row r="10" spans="1:12" ht="17.45" customHeight="1" x14ac:dyDescent="0.25">
      <c r="A10" s="8" t="s">
        <v>107</v>
      </c>
      <c r="B10" s="8" t="s">
        <v>108</v>
      </c>
      <c r="C10" s="8" t="s">
        <v>149</v>
      </c>
      <c r="D10" s="15" t="s">
        <v>175</v>
      </c>
      <c r="E10" s="8"/>
      <c r="F10" s="8"/>
      <c r="G10" s="8"/>
      <c r="H10" s="8"/>
      <c r="I10" s="8"/>
      <c r="J10" s="8"/>
      <c r="K10" s="8"/>
      <c r="L10" s="8"/>
    </row>
    <row r="11" spans="1:12" ht="17.45" customHeight="1" x14ac:dyDescent="0.25">
      <c r="A11" s="8" t="s">
        <v>107</v>
      </c>
      <c r="B11" s="8" t="s">
        <v>109</v>
      </c>
      <c r="C11" s="8" t="s">
        <v>149</v>
      </c>
      <c r="D11" s="15" t="s">
        <v>175</v>
      </c>
      <c r="E11" s="8"/>
      <c r="F11" s="8"/>
      <c r="G11" s="8"/>
      <c r="H11" s="8"/>
      <c r="I11" s="8"/>
      <c r="J11" s="8"/>
      <c r="K11" s="8"/>
      <c r="L11" s="8"/>
    </row>
    <row r="12" spans="1:12" ht="17.45" customHeight="1" x14ac:dyDescent="0.25">
      <c r="A12" s="8" t="s">
        <v>107</v>
      </c>
      <c r="B12" s="8" t="s">
        <v>150</v>
      </c>
      <c r="C12" s="8" t="s">
        <v>149</v>
      </c>
      <c r="D12" s="15" t="s">
        <v>175</v>
      </c>
      <c r="E12" s="8"/>
      <c r="F12" s="8"/>
      <c r="G12" s="8"/>
      <c r="H12" s="8"/>
      <c r="I12" s="8"/>
      <c r="J12" s="8"/>
      <c r="K12" s="8"/>
      <c r="L12" s="8"/>
    </row>
    <row r="13" spans="1:12" ht="17.45" customHeight="1" x14ac:dyDescent="0.25">
      <c r="A13" s="8" t="s">
        <v>107</v>
      </c>
      <c r="B13" s="8" t="s">
        <v>110</v>
      </c>
      <c r="C13" s="8" t="s">
        <v>149</v>
      </c>
      <c r="D13" s="15" t="s">
        <v>175</v>
      </c>
      <c r="E13" s="8"/>
      <c r="F13" s="8"/>
      <c r="G13" s="8"/>
      <c r="H13" s="8"/>
      <c r="I13" s="8"/>
      <c r="J13" s="8"/>
      <c r="K13" s="8"/>
      <c r="L13" s="8"/>
    </row>
    <row r="14" spans="1:12" ht="17.45" customHeight="1" x14ac:dyDescent="0.25">
      <c r="A14" s="8" t="s">
        <v>107</v>
      </c>
      <c r="B14" s="8" t="s">
        <v>112</v>
      </c>
      <c r="C14" s="8" t="s">
        <v>149</v>
      </c>
      <c r="D14" s="15" t="s">
        <v>175</v>
      </c>
      <c r="E14" s="8"/>
      <c r="F14" s="8"/>
      <c r="G14" s="8"/>
      <c r="H14" s="8"/>
      <c r="I14" s="8"/>
      <c r="J14" s="8"/>
      <c r="K14" s="8"/>
      <c r="L14" s="8"/>
    </row>
  </sheetData>
  <mergeCells count="7">
    <mergeCell ref="E5:L5"/>
    <mergeCell ref="E6:H6"/>
    <mergeCell ref="I6:L6"/>
    <mergeCell ref="A5:A7"/>
    <mergeCell ref="B5:B7"/>
    <mergeCell ref="C5:C7"/>
    <mergeCell ref="D5:D7"/>
  </mergeCells>
  <pageMargins left="0.98402777777777795" right="0.98402777777777795" top="0.74791666666666701" bottom="0.74791666666666701" header="0.51180555555555496" footer="0.51180555555555496"/>
  <pageSetup paperSize="9" firstPageNumber="0" orientation="landscape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MJ15"/>
  <sheetViews>
    <sheetView tabSelected="1" view="pageBreakPreview" zoomScaleNormal="100" zoomScalePageLayoutView="85" workbookViewId="0">
      <selection activeCell="R9" sqref="R9"/>
    </sheetView>
  </sheetViews>
  <sheetFormatPr defaultColWidth="8.85546875" defaultRowHeight="13.5" x14ac:dyDescent="0.25"/>
  <cols>
    <col min="1" max="1" width="36.28515625" style="1" customWidth="1"/>
    <col min="2" max="2" width="22" style="1" customWidth="1"/>
    <col min="3" max="3" width="27.7109375" style="1" customWidth="1"/>
    <col min="4" max="19" width="6.7109375" style="1" customWidth="1"/>
    <col min="20" max="1024" width="8.85546875" style="1"/>
  </cols>
  <sheetData>
    <row r="2" spans="1:19" ht="44.45" customHeight="1" x14ac:dyDescent="0.25">
      <c r="A2" s="35" t="s">
        <v>151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4" spans="1:19" x14ac:dyDescent="0.25">
      <c r="A4" s="1" t="s">
        <v>152</v>
      </c>
    </row>
    <row r="5" spans="1:19" ht="20.45" customHeight="1" x14ac:dyDescent="0.25">
      <c r="A5" s="39" t="s">
        <v>153</v>
      </c>
      <c r="B5" s="39" t="s">
        <v>102</v>
      </c>
      <c r="C5" s="39" t="s">
        <v>154</v>
      </c>
      <c r="D5" s="38" t="s">
        <v>155</v>
      </c>
      <c r="E5" s="38"/>
      <c r="F5" s="38"/>
      <c r="G5" s="38"/>
      <c r="H5" s="38"/>
      <c r="I5" s="38"/>
      <c r="J5" s="38"/>
      <c r="K5" s="38"/>
      <c r="L5" s="38" t="s">
        <v>156</v>
      </c>
      <c r="M5" s="38"/>
      <c r="N5" s="38"/>
      <c r="O5" s="38"/>
      <c r="P5" s="38"/>
      <c r="Q5" s="38"/>
      <c r="R5" s="38"/>
      <c r="S5" s="38"/>
    </row>
    <row r="6" spans="1:19" ht="20.45" customHeight="1" x14ac:dyDescent="0.25">
      <c r="A6" s="39"/>
      <c r="B6" s="39"/>
      <c r="C6" s="39"/>
      <c r="D6" s="38" t="s">
        <v>119</v>
      </c>
      <c r="E6" s="38"/>
      <c r="F6" s="38"/>
      <c r="G6" s="38"/>
      <c r="H6" s="38" t="s">
        <v>139</v>
      </c>
      <c r="I6" s="38"/>
      <c r="J6" s="38"/>
      <c r="K6" s="38"/>
      <c r="L6" s="38" t="s">
        <v>119</v>
      </c>
      <c r="M6" s="38"/>
      <c r="N6" s="38"/>
      <c r="O6" s="38"/>
      <c r="P6" s="38" t="s">
        <v>139</v>
      </c>
      <c r="Q6" s="38"/>
      <c r="R6" s="38"/>
      <c r="S6" s="38"/>
    </row>
    <row r="7" spans="1:19" ht="27" customHeight="1" x14ac:dyDescent="0.25">
      <c r="A7" s="39"/>
      <c r="B7" s="39"/>
      <c r="C7" s="39"/>
      <c r="D7" s="11" t="s">
        <v>122</v>
      </c>
      <c r="E7" s="11" t="s">
        <v>123</v>
      </c>
      <c r="F7" s="11" t="s">
        <v>124</v>
      </c>
      <c r="G7" s="11" t="s">
        <v>125</v>
      </c>
      <c r="H7" s="11" t="s">
        <v>126</v>
      </c>
      <c r="I7" s="11" t="s">
        <v>127</v>
      </c>
      <c r="J7" s="11" t="s">
        <v>128</v>
      </c>
      <c r="K7" s="11" t="s">
        <v>129</v>
      </c>
      <c r="L7" s="11" t="s">
        <v>122</v>
      </c>
      <c r="M7" s="11" t="s">
        <v>123</v>
      </c>
      <c r="N7" s="11" t="s">
        <v>124</v>
      </c>
      <c r="O7" s="11" t="s">
        <v>125</v>
      </c>
      <c r="P7" s="11" t="s">
        <v>126</v>
      </c>
      <c r="Q7" s="11" t="s">
        <v>127</v>
      </c>
      <c r="R7" s="11" t="s">
        <v>128</v>
      </c>
      <c r="S7" s="11" t="s">
        <v>129</v>
      </c>
    </row>
    <row r="8" spans="1:19" ht="12" customHeight="1" x14ac:dyDescent="0.25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2">
        <v>16</v>
      </c>
      <c r="Q8" s="12">
        <v>17</v>
      </c>
      <c r="R8" s="12">
        <v>18</v>
      </c>
      <c r="S8" s="12">
        <v>19</v>
      </c>
    </row>
    <row r="9" spans="1:19" ht="17.45" customHeight="1" x14ac:dyDescent="0.25">
      <c r="A9" s="8" t="s">
        <v>106</v>
      </c>
      <c r="B9" s="8" t="s">
        <v>107</v>
      </c>
      <c r="C9" s="8" t="s">
        <v>174</v>
      </c>
      <c r="D9" s="8"/>
      <c r="E9" s="8">
        <v>0.04</v>
      </c>
      <c r="F9" s="8">
        <v>4.4999999999999998E-2</v>
      </c>
      <c r="G9" s="8">
        <v>1E-3</v>
      </c>
      <c r="H9" s="8"/>
      <c r="I9" s="8">
        <v>4.4999999999999998E-2</v>
      </c>
      <c r="J9" s="8"/>
      <c r="K9" s="8"/>
      <c r="L9" s="8"/>
      <c r="M9" s="13">
        <f>E9*2</f>
        <v>0.08</v>
      </c>
      <c r="N9" s="13">
        <f>F9*2</f>
        <v>0.09</v>
      </c>
      <c r="O9" s="8">
        <f>G9*2</f>
        <v>2E-3</v>
      </c>
      <c r="P9" s="8"/>
      <c r="Q9" s="13">
        <f>I9*2</f>
        <v>0.09</v>
      </c>
      <c r="R9" s="8"/>
      <c r="S9" s="8"/>
    </row>
    <row r="10" spans="1:19" ht="17.45" customHeight="1" x14ac:dyDescent="0.25">
      <c r="A10" s="8" t="s">
        <v>108</v>
      </c>
      <c r="B10" s="8"/>
      <c r="C10" s="8" t="s">
        <v>140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7.45" customHeight="1" x14ac:dyDescent="0.25">
      <c r="A11" s="8" t="s">
        <v>109</v>
      </c>
      <c r="B11" s="8"/>
      <c r="C11" s="8" t="s">
        <v>141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7.45" customHeight="1" x14ac:dyDescent="0.25">
      <c r="A12" s="8" t="s">
        <v>110</v>
      </c>
      <c r="B12" s="8"/>
      <c r="C12" s="8" t="s">
        <v>142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7.45" customHeight="1" x14ac:dyDescent="0.25">
      <c r="A13" s="8" t="s">
        <v>111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7.45" customHeight="1" x14ac:dyDescent="0.25">
      <c r="A14" s="8" t="s">
        <v>112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7.4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</sheetData>
  <mergeCells count="10">
    <mergeCell ref="A2:S2"/>
    <mergeCell ref="D5:K5"/>
    <mergeCell ref="L5:S5"/>
    <mergeCell ref="D6:G6"/>
    <mergeCell ref="H6:K6"/>
    <mergeCell ref="L6:O6"/>
    <mergeCell ref="P6:S6"/>
    <mergeCell ref="A5:A7"/>
    <mergeCell ref="B5:B7"/>
    <mergeCell ref="C5:C7"/>
  </mergeCells>
  <pageMargins left="0.196527777777778" right="0.196527777777778" top="0.74791666666666701" bottom="0.74791666666666701" header="0.51180555555555496" footer="0.51180555555555496"/>
  <pageSetup paperSize="9" scale="76" firstPageNumber="0" orientation="landscape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MJ13"/>
  <sheetViews>
    <sheetView view="pageBreakPreview" zoomScale="85" zoomScaleNormal="100" zoomScalePageLayoutView="85" workbookViewId="0">
      <selection activeCell="E32" sqref="E32"/>
    </sheetView>
  </sheetViews>
  <sheetFormatPr defaultColWidth="8.85546875" defaultRowHeight="13.5" x14ac:dyDescent="0.25"/>
  <cols>
    <col min="1" max="1" width="30.42578125" style="1" customWidth="1"/>
    <col min="2" max="2" width="18.28515625" style="1" customWidth="1"/>
    <col min="3" max="3" width="21.85546875" style="1" customWidth="1"/>
    <col min="4" max="9" width="12.5703125" style="1" customWidth="1"/>
    <col min="10" max="20" width="6.7109375" style="1" customWidth="1"/>
    <col min="21" max="1024" width="8.85546875" style="1"/>
  </cols>
  <sheetData>
    <row r="2" spans="1:9" ht="20.25" x14ac:dyDescent="0.3">
      <c r="A2" s="2" t="s">
        <v>157</v>
      </c>
      <c r="B2" s="2"/>
      <c r="C2" s="3"/>
    </row>
    <row r="4" spans="1:9" x14ac:dyDescent="0.25">
      <c r="A4" s="1" t="s">
        <v>158</v>
      </c>
    </row>
    <row r="5" spans="1:9" ht="19.899999999999999" customHeight="1" x14ac:dyDescent="0.25">
      <c r="A5" s="33" t="s">
        <v>159</v>
      </c>
      <c r="B5" s="33" t="s">
        <v>115</v>
      </c>
      <c r="C5" s="33" t="s">
        <v>160</v>
      </c>
      <c r="D5" s="33" t="s">
        <v>161</v>
      </c>
      <c r="E5" s="33"/>
      <c r="F5" s="33" t="s">
        <v>162</v>
      </c>
      <c r="G5" s="33" t="s">
        <v>163</v>
      </c>
      <c r="H5" s="33"/>
      <c r="I5" s="33" t="s">
        <v>164</v>
      </c>
    </row>
    <row r="6" spans="1:9" ht="29.45" customHeight="1" x14ac:dyDescent="0.25">
      <c r="A6" s="33"/>
      <c r="B6" s="33"/>
      <c r="C6" s="33"/>
      <c r="D6" s="9" t="s">
        <v>165</v>
      </c>
      <c r="E6" s="9" t="s">
        <v>166</v>
      </c>
      <c r="F6" s="33"/>
      <c r="G6" s="9" t="s">
        <v>165</v>
      </c>
      <c r="H6" s="9" t="s">
        <v>166</v>
      </c>
      <c r="I6" s="33"/>
    </row>
    <row r="7" spans="1:9" ht="12" customHeight="1" x14ac:dyDescent="0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</row>
    <row r="8" spans="1:9" ht="18" customHeight="1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ht="18" customHeight="1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8" customHeight="1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ht="18" customHeight="1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8" customHeight="1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8" customHeight="1" x14ac:dyDescent="0.25">
      <c r="A13" s="8"/>
      <c r="B13" s="8"/>
      <c r="C13" s="8"/>
      <c r="D13" s="8"/>
      <c r="E13" s="8"/>
      <c r="F13" s="8"/>
      <c r="G13" s="8"/>
      <c r="H13" s="8"/>
      <c r="I13" s="8"/>
    </row>
  </sheetData>
  <mergeCells count="7">
    <mergeCell ref="I5:I6"/>
    <mergeCell ref="D5:E5"/>
    <mergeCell ref="G5:H5"/>
    <mergeCell ref="A5:A6"/>
    <mergeCell ref="B5:B6"/>
    <mergeCell ref="C5:C6"/>
    <mergeCell ref="F5:F6"/>
  </mergeCells>
  <pageMargins left="0.196527777777778" right="0.196527777777778" top="0.74791666666666701" bottom="0.74791666666666701" header="0.51180555555555496" footer="0.51180555555555496"/>
  <pageSetup paperSize="9" firstPageNumber="0" orientation="landscape" useFirstPageNumber="1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MJ9"/>
  <sheetViews>
    <sheetView view="pageBreakPreview" zoomScaleNormal="100" zoomScalePageLayoutView="85" workbookViewId="0">
      <selection activeCell="B8" sqref="B8"/>
    </sheetView>
  </sheetViews>
  <sheetFormatPr defaultColWidth="8.85546875" defaultRowHeight="13.5" x14ac:dyDescent="0.25"/>
  <cols>
    <col min="1" max="2" width="22" style="1" customWidth="1"/>
    <col min="3" max="3" width="65.42578125" style="1" customWidth="1"/>
    <col min="4" max="11" width="6.7109375" style="1" customWidth="1"/>
    <col min="12" max="1024" width="8.85546875" style="1"/>
  </cols>
  <sheetData>
    <row r="2" spans="1:3" ht="20.25" x14ac:dyDescent="0.3">
      <c r="A2" s="2" t="s">
        <v>167</v>
      </c>
      <c r="B2" s="3"/>
    </row>
    <row r="4" spans="1:3" x14ac:dyDescent="0.25">
      <c r="A4" s="1" t="s">
        <v>168</v>
      </c>
    </row>
    <row r="5" spans="1:3" ht="37.9" customHeight="1" x14ac:dyDescent="0.25">
      <c r="A5" s="4" t="s">
        <v>169</v>
      </c>
      <c r="B5" s="4" t="s">
        <v>170</v>
      </c>
      <c r="C5" s="4" t="s">
        <v>171</v>
      </c>
    </row>
    <row r="6" spans="1:3" ht="12" customHeight="1" x14ac:dyDescent="0.25">
      <c r="A6" s="5">
        <v>1</v>
      </c>
      <c r="B6" s="5">
        <v>2</v>
      </c>
      <c r="C6" s="5">
        <v>3</v>
      </c>
    </row>
    <row r="7" spans="1:3" ht="61.15" customHeight="1" x14ac:dyDescent="0.25">
      <c r="A7" s="6" t="s">
        <v>172</v>
      </c>
      <c r="B7" s="7" t="s">
        <v>3</v>
      </c>
      <c r="C7" s="8"/>
    </row>
    <row r="8" spans="1:3" ht="61.15" customHeight="1" x14ac:dyDescent="0.25">
      <c r="A8" s="6" t="s">
        <v>120</v>
      </c>
      <c r="B8" s="7" t="s">
        <v>3</v>
      </c>
      <c r="C8" s="8"/>
    </row>
    <row r="9" spans="1:3" ht="61.15" customHeight="1" x14ac:dyDescent="0.25">
      <c r="A9" s="6" t="s">
        <v>173</v>
      </c>
      <c r="B9" s="7" t="s">
        <v>3</v>
      </c>
      <c r="C9" s="8"/>
    </row>
  </sheetData>
  <conditionalFormatting sqref="B7:B9">
    <cfRule type="cellIs" dxfId="2" priority="2" operator="equal">
      <formula>"1 - Стабильная"</formula>
    </cfRule>
    <cfRule type="cellIs" dxfId="1" priority="3" operator="equal">
      <formula>"2 - Напряженная"</formula>
    </cfRule>
    <cfRule type="cellIs" dxfId="0" priority="4" operator="equal">
      <formula>"3 - Критическая"</formula>
    </cfRule>
  </conditionalFormatting>
  <dataValidations count="1">
    <dataValidation type="list" allowBlank="1" showInputMessage="1" showErrorMessage="1" sqref="B7:B9" xr:uid="{00000000-0002-0000-0700-000000000000}">
      <formula1>ситуация</formula1>
    </dataValidation>
  </dataValidations>
  <pageMargins left="1.1812499999999999" right="0.196527777777778" top="0.74791666666666701" bottom="0.74791666666666701" header="0.51180555555555496" footer="0.51180555555555496"/>
  <pageSetup paperSize="9" firstPageNumber="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9</vt:i4>
      </vt:variant>
    </vt:vector>
  </HeadingPairs>
  <TitlesOfParts>
    <vt:vector size="17" baseType="lpstr">
      <vt:lpstr>Справочник</vt:lpstr>
      <vt:lpstr>1-Структура</vt:lpstr>
      <vt:lpstr>2-Потребность</vt:lpstr>
      <vt:lpstr>3-Остатки</vt:lpstr>
      <vt:lpstr>4-Поставка</vt:lpstr>
      <vt:lpstr>5-Реализация</vt:lpstr>
      <vt:lpstr>6-Авиатопливо</vt:lpstr>
      <vt:lpstr>7-Справка</vt:lpstr>
      <vt:lpstr>SF</vt:lpstr>
      <vt:lpstr>'1-Структура'!Область_печати</vt:lpstr>
      <vt:lpstr>'2-Потребность'!Область_печати</vt:lpstr>
      <vt:lpstr>'3-Остатки'!Область_печати</vt:lpstr>
      <vt:lpstr>'4-Поставка'!Область_печати</vt:lpstr>
      <vt:lpstr>'5-Реализация'!Область_печати</vt:lpstr>
      <vt:lpstr>'6-Авиатопливо'!Область_печати</vt:lpstr>
      <vt:lpstr>'7-Справка'!Область_печати</vt:lpstr>
      <vt:lpstr>ситуация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Алфосов Андрей Валерьевич</dc:creator>
  <cp:lastModifiedBy>Sergina</cp:lastModifiedBy>
  <cp:revision>0</cp:revision>
  <cp:lastPrinted>2026-01-26T05:42:23Z</cp:lastPrinted>
  <dcterms:created xsi:type="dcterms:W3CDTF">2022-10-25T09:43:00Z</dcterms:created>
  <dcterms:modified xsi:type="dcterms:W3CDTF">2026-02-02T07:04:19Z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7415F1DEBB0D410480B2E3CA0DBD3B81_13</vt:lpwstr>
  </property>
  <property fmtid="{D5CDD505-2E9C-101B-9397-08002B2CF9AE}" pid="3" name="KSOProductBuildVer">
    <vt:lpwstr>1049-12.2.0.18911</vt:lpwstr>
  </property>
</Properties>
</file>