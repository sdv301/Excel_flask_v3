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NS\Downloads\"/>
    </mc:Choice>
  </mc:AlternateContent>
  <bookViews>
    <workbookView xWindow="0" yWindow="0" windowWidth="28800" windowHeight="12435" firstSheet="1" activeTab="3"/>
  </bookViews>
  <sheets>
    <sheet name="Справочник" sheetId="1" state="hidden" r:id="rId1"/>
    <sheet name="1-Структура" sheetId="2" r:id="rId2"/>
    <sheet name="2-Потребность" sheetId="486" r:id="rId3"/>
    <sheet name="3-Остатки" sheetId="4" r:id="rId4"/>
    <sheet name="4-Поставка" sheetId="448" r:id="rId5"/>
    <sheet name="5-Реализация" sheetId="491" r:id="rId6"/>
    <sheet name="6-Авиатопливо" sheetId="475" r:id="rId7"/>
    <sheet name="7-Справка" sheetId="8" r:id="rId8"/>
  </sheets>
  <externalReferences>
    <externalReference r:id="rId9"/>
    <externalReference r:id="rId10"/>
  </externalReferences>
  <definedNames>
    <definedName name="_xlnm._FilterDatabase" localSheetId="3" hidden="1">'3-Остатки'!$B$4:$AB$44</definedName>
    <definedName name="SF" localSheetId="4">[1]Справочник!$C$4:$C$89</definedName>
    <definedName name="SF" localSheetId="6">[2]Справочник!$C$4:$C$89</definedName>
    <definedName name="SF">Справочник!$C$4:$C$89</definedName>
    <definedName name="_xlnm.Print_Area" localSheetId="1">'1-Структура'!$A$1:$E$26</definedName>
    <definedName name="_xlnm.Print_Area" localSheetId="2">'2-Потребность'!$A$1:$K$16</definedName>
    <definedName name="_xlnm.Print_Area" localSheetId="3">'3-Остатки'!$B$1:$AB$15</definedName>
    <definedName name="_xlnm.Print_Area" localSheetId="5">'5-Реализация'!$A$1:$S$44</definedName>
    <definedName name="_xlnm.Print_Area" localSheetId="6">'6-Авиатопливо'!$A$1:$I$13</definedName>
    <definedName name="_xlnm.Print_Area" localSheetId="7">'7-Справка'!$A$1:$C$9</definedName>
    <definedName name="ситуация" localSheetId="4">[1]Справочник!$H$4:$H$6</definedName>
    <definedName name="ситуация" localSheetId="6">[2]Справочник!$H$4:$H$6</definedName>
    <definedName name="ситуация">Справочник!$H$4:$H$6</definedName>
  </definedNames>
  <calcPr calcId="152511" refMode="R1C1"/>
</workbook>
</file>

<file path=xl/calcChain.xml><?xml version="1.0" encoding="utf-8"?>
<calcChain xmlns="http://schemas.openxmlformats.org/spreadsheetml/2006/main">
  <c r="J11" i="448" l="1"/>
  <c r="G11" i="448"/>
  <c r="J9" i="448"/>
  <c r="I9" i="448"/>
  <c r="G9" i="448"/>
  <c r="B6" i="2" l="1"/>
  <c r="XEM8" i="4" l="1"/>
</calcChain>
</file>

<file path=xl/sharedStrings.xml><?xml version="1.0" encoding="utf-8"?>
<sst xmlns="http://schemas.openxmlformats.org/spreadsheetml/2006/main" count="500" uniqueCount="211">
  <si>
    <t>Наименование субъекта Российской Федерации</t>
  </si>
  <si>
    <t>Код 
субъекта РФ</t>
  </si>
  <si>
    <t>Адыгея республика</t>
  </si>
  <si>
    <t>1 - Стабильная</t>
  </si>
  <si>
    <t>Башкортостан республика</t>
  </si>
  <si>
    <t>2 - Напряженная</t>
  </si>
  <si>
    <t>Бурятия республика</t>
  </si>
  <si>
    <t>3 - Критическая</t>
  </si>
  <si>
    <t>Алтай республика</t>
  </si>
  <si>
    <t>Дагестан республика</t>
  </si>
  <si>
    <t>Ингушетия республика</t>
  </si>
  <si>
    <t>Кабардино-Балкарская республика</t>
  </si>
  <si>
    <t>Калмыкия республика</t>
  </si>
  <si>
    <t>Карачаево-Черкесская республика</t>
  </si>
  <si>
    <t>Карелия республика</t>
  </si>
  <si>
    <t>Коми республика</t>
  </si>
  <si>
    <t>Марий Эл республика</t>
  </si>
  <si>
    <t>Мордовия республика</t>
  </si>
  <si>
    <t>Саха /Якутия/ республика</t>
  </si>
  <si>
    <t>Северная Осетия - Алания республика</t>
  </si>
  <si>
    <t>Татарстан республика</t>
  </si>
  <si>
    <t>Тыва республика</t>
  </si>
  <si>
    <t>Удмуртская республика</t>
  </si>
  <si>
    <t>Хакасия республика</t>
  </si>
  <si>
    <t>Чеченская республика</t>
  </si>
  <si>
    <t>Чувашская Республика - Чувашия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</si>
  <si>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</si>
  <si>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</si>
  <si>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</si>
  <si>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</si>
  <si>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</si>
  <si>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</si>
  <si>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</si>
  <si>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</si>
  <si>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</si>
  <si>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</si>
  <si>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</si>
  <si>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</si>
  <si>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</si>
  <si>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</si>
  <si>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</si>
  <si>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</si>
  <si>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</si>
  <si>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</si>
  <si>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</si>
  <si>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</si>
  <si>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</si>
  <si>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</si>
  <si>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</si>
  <si>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</si>
  <si>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</si>
  <si>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</si>
  <si>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</si>
  <si>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</si>
  <si>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</si>
  <si>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</si>
  <si>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</si>
  <si>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</si>
  <si>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</si>
  <si>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</si>
  <si>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</si>
  <si>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</si>
  <si>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</si>
  <si>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</si>
  <si>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</si>
  <si>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</si>
  <si>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</si>
  <si>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</si>
  <si>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</si>
  <si>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</si>
  <si>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</si>
  <si>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</si>
  <si>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</si>
  <si>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</si>
  <si>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</si>
  <si>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</si>
  <si>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</si>
  <si>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</si>
  <si>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</si>
  <si>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</si>
  <si>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</si>
  <si>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Москва город</t>
  </si>
  <si>
    <t>Санкт-Петербург город</t>
  </si>
  <si>
    <t>Еврейская автономная область</t>
  </si>
  <si>
    <t>Ненецкий автономный округ</t>
  </si>
  <si>
    <t>Ханты-Мансийский Автономный округ - Югра автономный округ</t>
  </si>
  <si>
    <t>Чукотский автономный округ</t>
  </si>
  <si>
    <t>Ямало-Ненецкий автономный округ</t>
  </si>
  <si>
    <t>Крым республика</t>
  </si>
  <si>
    <t>Севастополь город</t>
  </si>
  <si>
    <t>Байконур город</t>
  </si>
  <si>
    <t>Информация по состоянию за:</t>
  </si>
  <si>
    <t>Исполнитель:</t>
  </si>
  <si>
    <t>Контактный телефон:</t>
  </si>
  <si>
    <t>Субъект Российской Федерации</t>
  </si>
  <si>
    <t>Код субъекта РФ</t>
  </si>
  <si>
    <t>1. Структура топливного рынка субъекта РФ</t>
  </si>
  <si>
    <t xml:space="preserve">Таблица №1 Нефтебазы и автозаправочные станции </t>
  </si>
  <si>
    <t>Принадлежность ПНПО 
ВИНК / Независимые компании</t>
  </si>
  <si>
    <t>Наименование компаний (организаций) 
поставщиков нефтепродуктов ПНПО</t>
  </si>
  <si>
    <t>Кол-во
нефтебаз</t>
  </si>
  <si>
    <t>Кол-во
АЗС</t>
  </si>
  <si>
    <t>Кол-во
работающих
АЗС</t>
  </si>
  <si>
    <t>ВИНК_01</t>
  </si>
  <si>
    <t>ПНПО_1</t>
  </si>
  <si>
    <t>ПНПО_2</t>
  </si>
  <si>
    <t>ПНПО_3</t>
  </si>
  <si>
    <t>ВИНК_02</t>
  </si>
  <si>
    <t>Независимая компании_01</t>
  </si>
  <si>
    <t>Независимая компании_02</t>
  </si>
  <si>
    <t>Таблица №2 Аэропорты, аэродромы</t>
  </si>
  <si>
    <t>Наименование аэропортов, аэродромов 
в субъекте РФ</t>
  </si>
  <si>
    <t>Наименование ТЗК</t>
  </si>
  <si>
    <t>Аэропорт_01</t>
  </si>
  <si>
    <t>ТЗК_01</t>
  </si>
  <si>
    <t>ТЗК_02</t>
  </si>
  <si>
    <t>Аэропорт_02</t>
  </si>
  <si>
    <t>2. Потребность в моторном топливе субъекта РФ (тыс. тонн)</t>
  </si>
  <si>
    <t>Таблица №3 Годовая потребность в моторном топливе</t>
  </si>
  <si>
    <t>Отчетная дата</t>
  </si>
  <si>
    <t>Автобензины</t>
  </si>
  <si>
    <t>Дизельное топливо</t>
  </si>
  <si>
    <t>Всего</t>
  </si>
  <si>
    <t>АИ
76/80</t>
  </si>
  <si>
    <t>АИ
92</t>
  </si>
  <si>
    <t>АИ
95</t>
  </si>
  <si>
    <t>АИ
98/100</t>
  </si>
  <si>
    <t>Зим.</t>
  </si>
  <si>
    <t>Арк.</t>
  </si>
  <si>
    <t>Лет.</t>
  </si>
  <si>
    <t>Меж.</t>
  </si>
  <si>
    <t xml:space="preserve"> - в т.ч. для розничной реализации через АЗС</t>
  </si>
  <si>
    <t>Таблица №4 Ожидаемая потребность в моторном топливе в отчетном месяце</t>
  </si>
  <si>
    <t>3. Информация о наличии моторного топлива на предприятиях нефтепродуктообеспечения (ПНПО) и автозаправочных станциях (АЗС) в субъектах РФ. (тыс. тонн)</t>
  </si>
  <si>
    <t>Таблица №5 Наличие моторного топлива</t>
  </si>
  <si>
    <t>Принадлежность ПНПО /АЗС
ВИНК / Независимые</t>
  </si>
  <si>
    <r>
      <rPr>
        <b/>
        <sz val="9"/>
        <color rgb="FF000000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/
суммарное количество АЗС</t>
    </r>
  </si>
  <si>
    <t>Имеющиеся запасы, товарные остатки</t>
  </si>
  <si>
    <t>Товар в пути</t>
  </si>
  <si>
    <t>Фактическая емкость хранения резервуарного парка</t>
  </si>
  <si>
    <t>Дизтопливо</t>
  </si>
  <si>
    <t>6. Поставка авиатоплива в аэропорты, аэродромы субъектов РФ (тыс. тонн)</t>
  </si>
  <si>
    <t>Таблица №8 Авиатопливо</t>
  </si>
  <si>
    <t>Наименование аэропортов, аэродромов 
в субъекте РФ*</t>
  </si>
  <si>
    <t>Наличие заключенных договоров на месяц
(в объемах)</t>
  </si>
  <si>
    <t>Поставка</t>
  </si>
  <si>
    <t>Потребность на месяц</t>
  </si>
  <si>
    <t>Расход</t>
  </si>
  <si>
    <t>Остатки на конец дня</t>
  </si>
  <si>
    <t>сут.</t>
  </si>
  <si>
    <t>с нач. мес.</t>
  </si>
  <si>
    <t>7. Комментарии к обстановке с топливообеспечением субъектов РФ</t>
  </si>
  <si>
    <t>Таблица №9 Комментарии</t>
  </si>
  <si>
    <t>Моторное топливо</t>
  </si>
  <si>
    <t>Ситуация по топливообеспечению</t>
  </si>
  <si>
    <t>Комментарии по ситуации</t>
  </si>
  <si>
    <t>Бензин автомобильный</t>
  </si>
  <si>
    <t>Авиатопливо</t>
  </si>
  <si>
    <t>АЗС (1 шт)</t>
  </si>
  <si>
    <t xml:space="preserve">НБ Батагайская </t>
  </si>
  <si>
    <t>НБ Белогорская</t>
  </si>
  <si>
    <t>НБ Жиганская</t>
  </si>
  <si>
    <t>НБ Зырянская</t>
  </si>
  <si>
    <t>НБ Ленская</t>
  </si>
  <si>
    <t>АЗС (8 шт)</t>
  </si>
  <si>
    <t>НБ Нижне-Бестяхская</t>
  </si>
  <si>
    <t>НБ Нижнеколымская</t>
  </si>
  <si>
    <t>НБ Нижнеянская</t>
  </si>
  <si>
    <t>АЗС (2 шт)</t>
  </si>
  <si>
    <t>НБ Нюрбинская</t>
  </si>
  <si>
    <t>НБ Олекминская</t>
  </si>
  <si>
    <t xml:space="preserve">НБ Сангарская </t>
  </si>
  <si>
    <t>НБ Среднеколымская</t>
  </si>
  <si>
    <t>НБ Томмотская</t>
  </si>
  <si>
    <t>НБ Усть- Куйгинская</t>
  </si>
  <si>
    <t>НБ Хандыгская</t>
  </si>
  <si>
    <t>НБ Чокурдахская</t>
  </si>
  <si>
    <t>НБ Эльдиканская</t>
  </si>
  <si>
    <t>АЗС (7 шт)</t>
  </si>
  <si>
    <t>НБ Якутская</t>
  </si>
  <si>
    <t xml:space="preserve">АЗС (8 шт) </t>
  </si>
  <si>
    <t>АО "Саханефтегазсбыт"</t>
  </si>
  <si>
    <t>ВИНК</t>
  </si>
  <si>
    <t>ООО Газпромнефть -Региональные продажи</t>
  </si>
  <si>
    <t>меж</t>
  </si>
  <si>
    <t>4. Ожидаемые поставки моторного топлива на нефтебазы ПНПО в субъектах РФ. (тыс. тонн)</t>
  </si>
  <si>
    <t>Таблица №6 Поставка моторного топлива</t>
  </si>
  <si>
    <t>Принадлежность ПНПО 
ВИНК / Независимые</t>
  </si>
  <si>
    <t>Нефтебаза</t>
  </si>
  <si>
    <t>Срок поставки</t>
  </si>
  <si>
    <t>Объем ожидаемой поставки</t>
  </si>
  <si>
    <t>Томмотская нефтебаза</t>
  </si>
  <si>
    <t>Нижне-Бестяхская нефтебаза</t>
  </si>
  <si>
    <t>89142729778 доб.2322</t>
  </si>
  <si>
    <t>АЗС (10 шт)</t>
  </si>
  <si>
    <t>АЗС (18 шт)</t>
  </si>
  <si>
    <t>Таблица №7 Реализация моторного топлива</t>
  </si>
  <si>
    <t>Принадлежность ПНПО /АЗС
ВИНК / Независимые компании</t>
  </si>
  <si>
    <r>
      <rPr>
        <b/>
        <sz val="9"/>
        <color rgb="FF000000"/>
        <rFont val="Arial Narrow"/>
        <family val="2"/>
        <charset val="204"/>
      </rPr>
      <t>Нефтебаза</t>
    </r>
    <r>
      <rPr>
        <b/>
        <sz val="9"/>
        <rFont val="Arial Narrow"/>
        <family val="2"/>
        <charset val="204"/>
      </rPr>
      <t>/суммарное количество АЗС</t>
    </r>
  </si>
  <si>
    <t>Реализация (сутки)</t>
  </si>
  <si>
    <t>Реализация (с нач. месяца)</t>
  </si>
  <si>
    <t>* по оперативным данным</t>
  </si>
  <si>
    <t>АЗС (11 шт)</t>
  </si>
  <si>
    <t>ООО ТопИнвест</t>
  </si>
  <si>
    <t xml:space="preserve"> ГОД 2026, всего</t>
  </si>
  <si>
    <t xml:space="preserve">  МЕСЯЦ январь, всего</t>
  </si>
  <si>
    <t>АЗС (13 шт)</t>
  </si>
  <si>
    <t>в январе 2026 г.</t>
  </si>
  <si>
    <t>до 31.01.2026</t>
  </si>
  <si>
    <t>ООО БЭСТ</t>
  </si>
  <si>
    <t>5. Реализация моторного топлива с предприятий нефтепродуктообеспечения (ПНПО) и автозаправочных станций (АЗС) 
в субъектах РФ. (тыс. тонн)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</si>
</sst>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mmm/yyyy"/>
    <numFmt numFmtId="166" formatCode="mmmm/yyyy"/>
    <numFmt numFmtId="167" formatCode="#,##0.000"/>
  </numFmts>
  <fonts count="15" x14ac:knownFonts="1">
    <font>
      <sz val="10"/>
      <color rgb="FF000000"/>
      <name val="Arial"/>
      <family val="2"/>
      <charset val="204"/>
    </font>
    <font>
      <sz val="10"/>
      <name val="Arial Cyr"/>
      <charset val="204"/>
    </font>
    <font>
      <sz val="12"/>
      <name val="Arial Cyr"/>
      <charset val="204"/>
    </font>
    <font>
      <sz val="10"/>
      <color rgb="FF000000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  <font>
      <b/>
      <sz val="9"/>
      <color rgb="FF000000"/>
      <name val="Arial Narrow"/>
      <family val="2"/>
      <charset val="204"/>
    </font>
    <font>
      <b/>
      <sz val="16"/>
      <color rgb="FF000000"/>
      <name val="Arial Narrow"/>
      <family val="2"/>
      <charset val="204"/>
    </font>
    <font>
      <b/>
      <i/>
      <sz val="9"/>
      <color rgb="FF000000"/>
      <name val="Arial Narrow"/>
      <family val="2"/>
      <charset val="204"/>
    </font>
    <font>
      <b/>
      <sz val="9"/>
      <name val="Arial Narrow"/>
      <family val="2"/>
      <charset val="204"/>
    </font>
    <font>
      <sz val="9"/>
      <color rgb="FFFF0000"/>
      <name val="Arial Narrow"/>
      <family val="2"/>
      <charset val="204"/>
    </font>
    <font>
      <sz val="9"/>
      <name val="Arial Narrow"/>
      <family val="2"/>
      <charset val="204"/>
    </font>
    <font>
      <sz val="9"/>
      <color theme="1"/>
      <name val="Arial Narrow"/>
      <family val="2"/>
      <charset val="204"/>
    </font>
    <font>
      <sz val="11"/>
      <color rgb="FF9C6500"/>
      <name val="Calibri"/>
      <family val="2"/>
      <charset val="204"/>
      <scheme val="minor"/>
    </font>
    <font>
      <sz val="10"/>
      <color indexed="64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7E4BD"/>
      </patternFill>
    </fill>
    <fill>
      <patternFill patternType="solid">
        <fgColor rgb="FFA6A6A6"/>
        <bgColor rgb="FF9999FF"/>
      </patternFill>
    </fill>
    <fill>
      <patternFill patternType="solid">
        <fgColor rgb="FFB9CDE5"/>
        <bgColor rgb="FFB7DEE8"/>
      </patternFill>
    </fill>
    <fill>
      <patternFill patternType="solid">
        <fgColor rgb="FFC3D69B"/>
        <bgColor rgb="FFD7E4BD"/>
      </patternFill>
    </fill>
    <fill>
      <patternFill patternType="solid">
        <fgColor rgb="FFE6B9B8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B7DEE8"/>
        <bgColor rgb="FFB9CDE5"/>
      </patternFill>
    </fill>
    <fill>
      <patternFill patternType="solid">
        <fgColor rgb="FFFFEB9C"/>
      </patternFill>
    </fill>
    <fill>
      <patternFill patternType="solid">
        <fgColor rgb="FFFFFFFF"/>
        <bgColor rgb="FFFFFFA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3" fillId="9" borderId="0" applyNumberFormat="0" applyBorder="0" applyAlignment="0" applyProtection="0"/>
    <xf numFmtId="0" fontId="14" fillId="0" borderId="0"/>
  </cellStyleXfs>
  <cellXfs count="10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9" fillId="0" borderId="1" xfId="2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164" fontId="11" fillId="0" borderId="1" xfId="0" applyNumberFormat="1" applyFont="1" applyBorder="1"/>
    <xf numFmtId="0" fontId="11" fillId="0" borderId="1" xfId="0" applyFont="1" applyBorder="1"/>
    <xf numFmtId="0" fontId="11" fillId="7" borderId="1" xfId="0" applyFont="1" applyFill="1" applyBorder="1"/>
    <xf numFmtId="164" fontId="11" fillId="7" borderId="1" xfId="0" applyNumberFormat="1" applyFont="1" applyFill="1" applyBorder="1"/>
    <xf numFmtId="167" fontId="5" fillId="0" borderId="1" xfId="0" applyNumberFormat="1" applyFont="1" applyBorder="1"/>
    <xf numFmtId="167" fontId="10" fillId="0" borderId="1" xfId="0" applyNumberFormat="1" applyFont="1" applyBorder="1"/>
    <xf numFmtId="167" fontId="12" fillId="7" borderId="1" xfId="0" applyNumberFormat="1" applyFont="1" applyFill="1" applyBorder="1"/>
    <xf numFmtId="0" fontId="5" fillId="0" borderId="1" xfId="0" applyFont="1" applyBorder="1"/>
    <xf numFmtId="0" fontId="5" fillId="0" borderId="1" xfId="0" applyFont="1" applyFill="1" applyBorder="1"/>
    <xf numFmtId="167" fontId="12" fillId="0" borderId="1" xfId="0" applyNumberFormat="1" applyFont="1" applyBorder="1"/>
    <xf numFmtId="167" fontId="5" fillId="7" borderId="1" xfId="0" applyNumberFormat="1" applyFont="1" applyFill="1" applyBorder="1"/>
    <xf numFmtId="167" fontId="11" fillId="0" borderId="1" xfId="0" applyNumberFormat="1" applyFont="1" applyBorder="1"/>
    <xf numFmtId="167" fontId="11" fillId="7" borderId="1" xfId="0" applyNumberFormat="1" applyFont="1" applyFill="1" applyBorder="1"/>
    <xf numFmtId="167" fontId="5" fillId="0" borderId="1" xfId="0" applyNumberFormat="1" applyFont="1" applyBorder="1"/>
    <xf numFmtId="0" fontId="11" fillId="0" borderId="1" xfId="0" applyFont="1" applyFill="1" applyBorder="1"/>
    <xf numFmtId="0" fontId="6" fillId="0" borderId="0" xfId="0" applyFont="1" applyAlignment="1">
      <alignment horizontal="center" vertical="center"/>
    </xf>
    <xf numFmtId="167" fontId="5" fillId="0" borderId="1" xfId="0" applyNumberFormat="1" applyFont="1" applyBorder="1" applyAlignment="1"/>
    <xf numFmtId="167" fontId="5" fillId="0" borderId="0" xfId="0" applyNumberFormat="1" applyFont="1"/>
    <xf numFmtId="164" fontId="11" fillId="0" borderId="0" xfId="0" applyNumberFormat="1" applyFont="1" applyBorder="1"/>
    <xf numFmtId="167" fontId="5" fillId="0" borderId="1" xfId="0" applyNumberFormat="1" applyFont="1" applyFill="1" applyBorder="1"/>
    <xf numFmtId="0" fontId="5" fillId="0" borderId="3" xfId="0" applyFont="1" applyBorder="1"/>
    <xf numFmtId="167" fontId="5" fillId="0" borderId="3" xfId="0" applyNumberFormat="1" applyFont="1" applyBorder="1"/>
    <xf numFmtId="164" fontId="5" fillId="0" borderId="3" xfId="0" applyNumberFormat="1" applyFont="1" applyBorder="1"/>
    <xf numFmtId="164" fontId="9" fillId="0" borderId="3" xfId="2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left" vertical="center"/>
    </xf>
    <xf numFmtId="167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left" vertical="center" wrapText="1"/>
    </xf>
    <xf numFmtId="167" fontId="11" fillId="0" borderId="3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/>
    <xf numFmtId="0" fontId="12" fillId="0" borderId="1" xfId="0" applyFont="1" applyBorder="1"/>
    <xf numFmtId="164" fontId="12" fillId="7" borderId="1" xfId="0" applyNumberFormat="1" applyFont="1" applyFill="1" applyBorder="1"/>
    <xf numFmtId="0" fontId="6" fillId="8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164" fontId="5" fillId="0" borderId="0" xfId="0" applyNumberFormat="1" applyFont="1"/>
    <xf numFmtId="0" fontId="13" fillId="9" borderId="0" xfId="3"/>
    <xf numFmtId="167" fontId="11" fillId="0" borderId="3" xfId="0" applyNumberFormat="1" applyFont="1" applyFill="1" applyBorder="1" applyAlignment="1">
      <alignment horizontal="center" vertical="center" wrapText="1"/>
    </xf>
    <xf numFmtId="166" fontId="11" fillId="0" borderId="3" xfId="0" applyNumberFormat="1" applyFont="1" applyFill="1" applyBorder="1" applyAlignment="1">
      <alignment horizontal="left" vertical="center"/>
    </xf>
    <xf numFmtId="0" fontId="5" fillId="7" borderId="3" xfId="0" applyFont="1" applyFill="1" applyBorder="1"/>
    <xf numFmtId="167" fontId="5" fillId="7" borderId="3" xfId="0" applyNumberFormat="1" applyFont="1" applyFill="1" applyBorder="1"/>
    <xf numFmtId="164" fontId="5" fillId="7" borderId="3" xfId="0" applyNumberFormat="1" applyFont="1" applyFill="1" applyBorder="1"/>
    <xf numFmtId="0" fontId="12" fillId="7" borderId="3" xfId="0" applyFont="1" applyFill="1" applyBorder="1"/>
    <xf numFmtId="0" fontId="5" fillId="0" borderId="3" xfId="0" applyFont="1" applyFill="1" applyBorder="1"/>
    <xf numFmtId="164" fontId="5" fillId="0" borderId="3" xfId="0" applyNumberFormat="1" applyFont="1" applyFill="1" applyBorder="1"/>
    <xf numFmtId="164" fontId="11" fillId="0" borderId="1" xfId="0" applyNumberFormat="1" applyFont="1" applyFill="1" applyBorder="1"/>
    <xf numFmtId="0" fontId="5" fillId="0" borderId="0" xfId="0" applyFont="1" applyFill="1"/>
    <xf numFmtId="0" fontId="0" fillId="0" borderId="0" xfId="0" applyFill="1"/>
    <xf numFmtId="167" fontId="11" fillId="0" borderId="1" xfId="0" applyNumberFormat="1" applyFont="1" applyFill="1" applyBorder="1"/>
    <xf numFmtId="167" fontId="12" fillId="0" borderId="1" xfId="0" applyNumberFormat="1" applyFont="1" applyFill="1" applyBorder="1"/>
    <xf numFmtId="167" fontId="5" fillId="0" borderId="0" xfId="0" applyNumberFormat="1" applyFont="1" applyAlignment="1">
      <alignment horizontal="center"/>
    </xf>
    <xf numFmtId="0" fontId="0" fillId="0" borderId="0" xfId="0"/>
    <xf numFmtId="0" fontId="5" fillId="0" borderId="0" xfId="0" applyFont="1"/>
    <xf numFmtId="0" fontId="5" fillId="0" borderId="3" xfId="0" applyFont="1" applyBorder="1"/>
    <xf numFmtId="0" fontId="6" fillId="4" borderId="3" xfId="0" applyFont="1" applyFill="1" applyBorder="1" applyAlignment="1">
      <alignment horizontal="center" vertical="center" wrapText="1"/>
    </xf>
    <xf numFmtId="0" fontId="5" fillId="0" borderId="3" xfId="0" applyFont="1" applyFill="1" applyBorder="1"/>
    <xf numFmtId="167" fontId="10" fillId="0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/>
    <xf numFmtId="0" fontId="5" fillId="0" borderId="0" xfId="0" applyFont="1"/>
    <xf numFmtId="0" fontId="5" fillId="0" borderId="3" xfId="0" applyFont="1" applyBorder="1"/>
    <xf numFmtId="0" fontId="6" fillId="4" borderId="3" xfId="0" applyFont="1" applyFill="1" applyBorder="1" applyAlignment="1">
      <alignment horizontal="center" vertical="center" wrapText="1"/>
    </xf>
    <xf numFmtId="0" fontId="5" fillId="0" borderId="3" xfId="0" applyFont="1" applyFill="1" applyBorder="1"/>
    <xf numFmtId="167" fontId="9" fillId="0" borderId="3" xfId="2" applyNumberFormat="1" applyFont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/>
    </xf>
    <xf numFmtId="0" fontId="6" fillId="4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167" fontId="9" fillId="10" borderId="3" xfId="0" applyNumberFormat="1" applyFont="1" applyFill="1" applyBorder="1" applyAlignment="1">
      <alignment horizontal="center" vertical="center"/>
    </xf>
  </cellXfs>
  <cellStyles count="5">
    <cellStyle name="Нейтральный" xfId="3" builtinId="28"/>
    <cellStyle name="Обычный" xfId="0" builtinId="0"/>
    <cellStyle name="Обычный 2" xfId="1"/>
    <cellStyle name="Обычный 3" xfId="4"/>
    <cellStyle name="Обычный_Лист1" xfId="2"/>
  </cellStyles>
  <dxfs count="3">
    <dxf>
      <font>
        <color rgb="FF953735"/>
      </font>
      <fill>
        <patternFill>
          <bgColor rgb="FFF2DCDB"/>
        </patternFill>
      </fill>
    </dxf>
    <dxf>
      <font>
        <color rgb="FF984807"/>
      </font>
      <fill>
        <patternFill>
          <bgColor rgb="FFFFFFAF"/>
        </patternFill>
      </fill>
    </dxf>
    <dxf>
      <font>
        <color rgb="FF4F6228"/>
      </font>
      <fill>
        <patternFill>
          <bgColor rgb="FFD7E4B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3D69B"/>
      <rgbColor rgb="FF808080"/>
      <rgbColor rgb="FF9999FF"/>
      <rgbColor rgb="FF953735"/>
      <rgbColor rgb="FFF2DCDB"/>
      <rgbColor rgb="FFD9D9D9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AF"/>
      <rgbColor rgb="FFB7DEE8"/>
      <rgbColor rgb="FFFF99CC"/>
      <rgbColor rgb="FFCC99FF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84807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eta\UserDATA\Users\ona\Downloads\FORMA_OTCHETNOSTI%20&#1085;&#1072;%2009.01.24%20%20%20%20%20%20%20%20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53;&#1040;%202/&#1045;&#1078;&#1077;&#1076;&#1085;&#1077;&#1074;&#1085;&#1099;&#1081;%20&#1086;&#1090;&#1095;&#1077;&#1090;%20&#1054;&#1041;&#1046;&#1053;/2025/&#1086;&#1082;&#1090;&#1103;&#1073;&#1088;&#1100;/FORMA_OTCHETNOSTI%20&#1085;&#1072;%2031.10.2025%20%2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1-Структура"/>
      <sheetName val="2-Потребность"/>
      <sheetName val="3-Остатки"/>
      <sheetName val="4-Поставка"/>
      <sheetName val="5-Реализация"/>
      <sheetName val="6-Авиатопливо"/>
      <sheetName val="7-Справка"/>
    </sheetNames>
    <sheetDataSet>
      <sheetData sheetId="0">
        <row r="4">
          <cell r="C4" t="str">
            <v>Адыгея республика</v>
          </cell>
          <cell r="H4" t="str">
            <v>1 - Стабильная</v>
          </cell>
        </row>
        <row r="5">
          <cell r="C5" t="str">
            <v>Башкортостан республика</v>
          </cell>
          <cell r="H5" t="str">
            <v>2 - Напряженная</v>
          </cell>
        </row>
        <row r="6">
          <cell r="C6" t="str">
            <v>Бурятия республика</v>
          </cell>
          <cell r="H6" t="str">
            <v>3 - Критическая</v>
          </cell>
        </row>
        <row r="7">
          <cell r="C7" t="str">
            <v>Алтай республика</v>
          </cell>
        </row>
        <row r="8">
          <cell r="C8" t="str">
            <v>Дагестан республика</v>
          </cell>
        </row>
        <row r="9">
          <cell r="C9" t="str">
            <v>Ингушетия республика</v>
          </cell>
        </row>
        <row r="10">
          <cell r="C10" t="str">
            <v>Кабардино-Балкарская республика</v>
          </cell>
        </row>
        <row r="11">
          <cell r="C11" t="str">
            <v>Калмыкия республика</v>
          </cell>
        </row>
        <row r="12">
          <cell r="C12" t="str">
            <v>Карачаево-Черкесская республика</v>
          </cell>
        </row>
        <row r="13">
          <cell r="C13" t="str">
            <v>Карелия республика</v>
          </cell>
        </row>
        <row r="14">
          <cell r="C14" t="str">
            <v>Коми республика</v>
          </cell>
        </row>
        <row r="15">
          <cell r="C15" t="str">
            <v>Марий Эл республика</v>
          </cell>
        </row>
        <row r="16">
          <cell r="C16" t="str">
            <v>Мордовия республика</v>
          </cell>
        </row>
        <row r="17">
          <cell r="C17" t="str">
            <v>Саха /Якутия/ республика</v>
          </cell>
        </row>
        <row r="18">
          <cell r="C18" t="str">
            <v>Северная Осетия - Алания республика</v>
          </cell>
        </row>
        <row r="19">
          <cell r="C19" t="str">
            <v>Татарстан республика</v>
          </cell>
        </row>
        <row r="20">
          <cell r="C20" t="str">
            <v>Тыва республика</v>
          </cell>
        </row>
        <row r="21">
          <cell r="C21" t="str">
            <v>Удмуртская республика</v>
          </cell>
        </row>
        <row r="22">
          <cell r="C22" t="str">
            <v>Хакасия республика</v>
          </cell>
        </row>
        <row r="23">
          <cell r="C23" t="str">
            <v>Чеченская республика</v>
          </cell>
        </row>
        <row r="24">
          <cell r="C24" t="str">
            <v>Чувашская Республика - Чувашия</v>
          </cell>
        </row>
        <row r="25">
          <cell r="C25" t="str">
            <v>Алтайский край</v>
          </cell>
        </row>
        <row r="26">
          <cell r="C26" t="str">
            <v>Краснодарский край</v>
          </cell>
        </row>
        <row r="27">
          <cell r="C27" t="str">
            <v>Красноярский край</v>
          </cell>
        </row>
        <row r="28">
          <cell r="C28" t="str">
            <v>Приморский край</v>
          </cell>
        </row>
        <row r="29">
          <cell r="C29" t="str">
            <v>Ставропольский край</v>
          </cell>
        </row>
        <row r="30">
          <cell r="C30" t="str">
            <v>Хабаровский край</v>
          </cell>
        </row>
        <row r="31">
          <cell r="C31" t="str">
            <v>Амурская область</v>
          </cell>
        </row>
        <row r="32">
          <cell r="C32" t="str">
            <v>Архангельская область</v>
          </cell>
        </row>
        <row r="33">
          <cell r="C33" t="str">
            <v>Астраханская область</v>
          </cell>
        </row>
        <row r="34">
          <cell r="C34" t="str">
            <v>Белгородская область</v>
          </cell>
        </row>
        <row r="35">
          <cell r="C35" t="str">
            <v>Брянская область</v>
          </cell>
        </row>
        <row r="36">
          <cell r="C36" t="str">
            <v>Владимирская область</v>
          </cell>
        </row>
        <row r="37">
          <cell r="C37" t="str">
            <v>Волгоградская область</v>
          </cell>
        </row>
        <row r="38">
          <cell r="C38" t="str">
            <v>Вологодская область</v>
          </cell>
        </row>
        <row r="39">
          <cell r="C39" t="str">
            <v>Воронежская область</v>
          </cell>
        </row>
        <row r="40">
          <cell r="C40" t="str">
            <v>Ивановская область</v>
          </cell>
        </row>
        <row r="41">
          <cell r="C41" t="str">
            <v>Иркутская область</v>
          </cell>
        </row>
        <row r="42">
          <cell r="C42" t="str">
            <v>Калининградская область</v>
          </cell>
        </row>
        <row r="43">
          <cell r="C43" t="str">
            <v>Калужская область</v>
          </cell>
        </row>
        <row r="44">
          <cell r="C44" t="str">
            <v>Камчатский край</v>
          </cell>
        </row>
        <row r="45">
          <cell r="C45" t="str">
            <v>Кемеровская область</v>
          </cell>
        </row>
        <row r="46">
          <cell r="C46" t="str">
            <v>Кировская область</v>
          </cell>
        </row>
        <row r="47">
          <cell r="C47" t="str">
            <v>Костромская область</v>
          </cell>
        </row>
        <row r="48">
          <cell r="C48" t="str">
            <v>Курганская область</v>
          </cell>
        </row>
        <row r="49">
          <cell r="C49" t="str">
            <v>Курская область</v>
          </cell>
        </row>
        <row r="50">
          <cell r="C50" t="str">
            <v>Ленинградская область</v>
          </cell>
        </row>
        <row r="51">
          <cell r="C51" t="str">
            <v>Липецкая область</v>
          </cell>
        </row>
        <row r="52">
          <cell r="C52" t="str">
            <v>Магаданская область</v>
          </cell>
        </row>
        <row r="53">
          <cell r="C53" t="str">
            <v>Московская область</v>
          </cell>
        </row>
        <row r="54">
          <cell r="C54" t="str">
            <v>Мурманская область</v>
          </cell>
        </row>
        <row r="55">
          <cell r="C55" t="str">
            <v>Нижегородская область</v>
          </cell>
        </row>
        <row r="56">
          <cell r="C56" t="str">
            <v>Новгородская область</v>
          </cell>
        </row>
        <row r="57">
          <cell r="C57" t="str">
            <v>Новосибирская область</v>
          </cell>
        </row>
        <row r="58">
          <cell r="C58" t="str">
            <v>Омская область</v>
          </cell>
        </row>
        <row r="59">
          <cell r="C59" t="str">
            <v>Оренбургская область</v>
          </cell>
        </row>
        <row r="60">
          <cell r="C60" t="str">
            <v>Орловская область</v>
          </cell>
        </row>
        <row r="61">
          <cell r="C61" t="str">
            <v>Пензенская область</v>
          </cell>
        </row>
        <row r="62">
          <cell r="C62" t="str">
            <v>Пермский край</v>
          </cell>
        </row>
        <row r="63">
          <cell r="C63" t="str">
            <v>Псковская область</v>
          </cell>
        </row>
        <row r="64">
          <cell r="C64" t="str">
            <v>Ростовская область</v>
          </cell>
        </row>
        <row r="65">
          <cell r="C65" t="str">
            <v>Рязанская область</v>
          </cell>
        </row>
        <row r="66">
          <cell r="C66" t="str">
            <v>Самарская область</v>
          </cell>
        </row>
        <row r="67">
          <cell r="C67" t="str">
            <v>Саратовская область</v>
          </cell>
        </row>
        <row r="68">
          <cell r="C68" t="str">
            <v>Сахалинская область</v>
          </cell>
        </row>
        <row r="69">
          <cell r="C69" t="str">
            <v>Свердловская область</v>
          </cell>
        </row>
        <row r="70">
          <cell r="C70" t="str">
            <v>Смоленская область</v>
          </cell>
        </row>
        <row r="71">
          <cell r="C71" t="str">
            <v>Тамбовская область</v>
          </cell>
        </row>
        <row r="72">
          <cell r="C72" t="str">
            <v>Тверская область</v>
          </cell>
        </row>
        <row r="73">
          <cell r="C73" t="str">
            <v>Томская область</v>
          </cell>
        </row>
        <row r="74">
          <cell r="C74" t="str">
            <v>Тульская область</v>
          </cell>
        </row>
        <row r="75">
          <cell r="C75" t="str">
            <v>Тюменская область</v>
          </cell>
        </row>
        <row r="76">
          <cell r="C76" t="str">
            <v>Ульяновская область</v>
          </cell>
        </row>
        <row r="77">
          <cell r="C77" t="str">
            <v>Челябинская область</v>
          </cell>
        </row>
        <row r="78">
          <cell r="C78" t="str">
            <v>Забайкальский край</v>
          </cell>
        </row>
        <row r="79">
          <cell r="C79" t="str">
            <v>Ярославская область</v>
          </cell>
        </row>
        <row r="80">
          <cell r="C80" t="str">
            <v>Москва город</v>
          </cell>
        </row>
        <row r="81">
          <cell r="C81" t="str">
            <v>Санкт-Петербург город</v>
          </cell>
        </row>
        <row r="82">
          <cell r="C82" t="str">
            <v>Еврейская автономная область</v>
          </cell>
        </row>
        <row r="83">
          <cell r="C83" t="str">
            <v>Ненецкий автономный округ</v>
          </cell>
        </row>
        <row r="84">
          <cell r="C84" t="str">
            <v>Ханты-Мансийский Автономный округ - Югра автономный округ</v>
          </cell>
        </row>
        <row r="85">
          <cell r="C85" t="str">
            <v>Чукотский автономный округ</v>
          </cell>
        </row>
        <row r="86">
          <cell r="C86" t="str">
            <v>Ямало-Ненецкий автономный округ</v>
          </cell>
        </row>
        <row r="87">
          <cell r="C87" t="str">
            <v>Крым республика</v>
          </cell>
        </row>
        <row r="88">
          <cell r="C88" t="str">
            <v>Севастополь город</v>
          </cell>
        </row>
        <row r="89">
          <cell r="C89" t="str">
            <v>Байконур город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1-Структура"/>
      <sheetName val="2-Потребность"/>
      <sheetName val="3-Остатки"/>
      <sheetName val="4-Поставка"/>
      <sheetName val="5-Реализация"/>
      <sheetName val="6-Авиатопливо"/>
      <sheetName val="7-Справка"/>
    </sheetNames>
    <sheetDataSet>
      <sheetData sheetId="0">
        <row r="4">
          <cell r="C4" t="str">
            <v>Адыгея республика</v>
          </cell>
          <cell r="H4" t="str">
            <v>1 - Стабильная</v>
          </cell>
        </row>
        <row r="5">
          <cell r="C5" t="str">
            <v>Башкортостан республика</v>
          </cell>
          <cell r="H5" t="str">
            <v>2 - Напряженная</v>
          </cell>
        </row>
        <row r="6">
          <cell r="C6" t="str">
            <v>Бурятия республика</v>
          </cell>
          <cell r="H6" t="str">
            <v>3 - Критическая</v>
          </cell>
        </row>
        <row r="7">
          <cell r="C7" t="str">
            <v>Алтай республика</v>
          </cell>
        </row>
        <row r="8">
          <cell r="C8" t="str">
            <v>Дагестан республика</v>
          </cell>
        </row>
        <row r="9">
          <cell r="C9" t="str">
            <v>Ингушетия республика</v>
          </cell>
        </row>
        <row r="10">
          <cell r="C10" t="str">
            <v>Кабардино-Балкарская республика</v>
          </cell>
        </row>
        <row r="11">
          <cell r="C11" t="str">
            <v>Калмыкия республика</v>
          </cell>
        </row>
        <row r="12">
          <cell r="C12" t="str">
            <v>Карачаево-Черкесская республика</v>
          </cell>
        </row>
        <row r="13">
          <cell r="C13" t="str">
            <v>Карелия республика</v>
          </cell>
        </row>
        <row r="14">
          <cell r="C14" t="str">
            <v>Коми республика</v>
          </cell>
        </row>
        <row r="15">
          <cell r="C15" t="str">
            <v>Марий Эл республика</v>
          </cell>
        </row>
        <row r="16">
          <cell r="C16" t="str">
            <v>Мордовия республика</v>
          </cell>
        </row>
        <row r="17">
          <cell r="C17" t="str">
            <v>Саха /Якутия/ республика</v>
          </cell>
        </row>
        <row r="18">
          <cell r="C18" t="str">
            <v>Северная Осетия - Алания республика</v>
          </cell>
        </row>
        <row r="19">
          <cell r="C19" t="str">
            <v>Татарстан республика</v>
          </cell>
        </row>
        <row r="20">
          <cell r="C20" t="str">
            <v>Тыва республика</v>
          </cell>
        </row>
        <row r="21">
          <cell r="C21" t="str">
            <v>Удмуртская республика</v>
          </cell>
        </row>
        <row r="22">
          <cell r="C22" t="str">
            <v>Хакасия республика</v>
          </cell>
        </row>
        <row r="23">
          <cell r="C23" t="str">
            <v>Чеченская республика</v>
          </cell>
        </row>
        <row r="24">
          <cell r="C24" t="str">
            <v>Чувашская Республика - Чувашия</v>
          </cell>
        </row>
        <row r="25">
          <cell r="C25" t="str">
            <v>Алтайский край</v>
          </cell>
        </row>
        <row r="26">
          <cell r="C26" t="str">
            <v>Краснодарский край</v>
          </cell>
        </row>
        <row r="27">
          <cell r="C27" t="str">
            <v>Красноярский край</v>
          </cell>
        </row>
        <row r="28">
          <cell r="C28" t="str">
            <v>Приморский край</v>
          </cell>
        </row>
        <row r="29">
          <cell r="C29" t="str">
            <v>Ставропольский край</v>
          </cell>
        </row>
        <row r="30">
          <cell r="C30" t="str">
            <v>Хабаровский край</v>
          </cell>
        </row>
        <row r="31">
          <cell r="C31" t="str">
            <v>Амурская область</v>
          </cell>
        </row>
        <row r="32">
          <cell r="C32" t="str">
            <v>Архангельская область</v>
          </cell>
        </row>
        <row r="33">
          <cell r="C33" t="str">
            <v>Астраханская область</v>
          </cell>
        </row>
        <row r="34">
          <cell r="C34" t="str">
            <v>Белгородская область</v>
          </cell>
        </row>
        <row r="35">
          <cell r="C35" t="str">
            <v>Брянская область</v>
          </cell>
        </row>
        <row r="36">
          <cell r="C36" t="str">
            <v>Владимирская область</v>
          </cell>
        </row>
        <row r="37">
          <cell r="C37" t="str">
            <v>Волгоградская область</v>
          </cell>
        </row>
        <row r="38">
          <cell r="C38" t="str">
            <v>Вологодская область</v>
          </cell>
        </row>
        <row r="39">
          <cell r="C39" t="str">
            <v>Воронежская область</v>
          </cell>
        </row>
        <row r="40">
          <cell r="C40" t="str">
            <v>Ивановская область</v>
          </cell>
        </row>
        <row r="41">
          <cell r="C41" t="str">
            <v>Иркутская область</v>
          </cell>
        </row>
        <row r="42">
          <cell r="C42" t="str">
            <v>Калининградская область</v>
          </cell>
        </row>
        <row r="43">
          <cell r="C43" t="str">
            <v>Калужская область</v>
          </cell>
        </row>
        <row r="44">
          <cell r="C44" t="str">
            <v>Камчатский край</v>
          </cell>
        </row>
        <row r="45">
          <cell r="C45" t="str">
            <v>Кемеровская область</v>
          </cell>
        </row>
        <row r="46">
          <cell r="C46" t="str">
            <v>Кировская область</v>
          </cell>
        </row>
        <row r="47">
          <cell r="C47" t="str">
            <v>Костромская область</v>
          </cell>
        </row>
        <row r="48">
          <cell r="C48" t="str">
            <v>Курганская область</v>
          </cell>
        </row>
        <row r="49">
          <cell r="C49" t="str">
            <v>Курская область</v>
          </cell>
        </row>
        <row r="50">
          <cell r="C50" t="str">
            <v>Ленинградская область</v>
          </cell>
        </row>
        <row r="51">
          <cell r="C51" t="str">
            <v>Липецкая область</v>
          </cell>
        </row>
        <row r="52">
          <cell r="C52" t="str">
            <v>Магаданская область</v>
          </cell>
        </row>
        <row r="53">
          <cell r="C53" t="str">
            <v>Московская область</v>
          </cell>
        </row>
        <row r="54">
          <cell r="C54" t="str">
            <v>Мурманская область</v>
          </cell>
        </row>
        <row r="55">
          <cell r="C55" t="str">
            <v>Нижегородская область</v>
          </cell>
        </row>
        <row r="56">
          <cell r="C56" t="str">
            <v>Новгородская область</v>
          </cell>
        </row>
        <row r="57">
          <cell r="C57" t="str">
            <v>Новосибирская область</v>
          </cell>
        </row>
        <row r="58">
          <cell r="C58" t="str">
            <v>Омская область</v>
          </cell>
        </row>
        <row r="59">
          <cell r="C59" t="str">
            <v>Оренбургская область</v>
          </cell>
        </row>
        <row r="60">
          <cell r="C60" t="str">
            <v>Орловская область</v>
          </cell>
        </row>
        <row r="61">
          <cell r="C61" t="str">
            <v>Пензенская область</v>
          </cell>
        </row>
        <row r="62">
          <cell r="C62" t="str">
            <v>Пермский край</v>
          </cell>
        </row>
        <row r="63">
          <cell r="C63" t="str">
            <v>Псковская область</v>
          </cell>
        </row>
        <row r="64">
          <cell r="C64" t="str">
            <v>Ростовская область</v>
          </cell>
        </row>
        <row r="65">
          <cell r="C65" t="str">
            <v>Рязанская область</v>
          </cell>
        </row>
        <row r="66">
          <cell r="C66" t="str">
            <v>Самарская область</v>
          </cell>
        </row>
        <row r="67">
          <cell r="C67" t="str">
            <v>Саратовская область</v>
          </cell>
        </row>
        <row r="68">
          <cell r="C68" t="str">
            <v>Сахалинская область</v>
          </cell>
        </row>
        <row r="69">
          <cell r="C69" t="str">
            <v>Свердловская область</v>
          </cell>
        </row>
        <row r="70">
          <cell r="C70" t="str">
            <v>Смоленская область</v>
          </cell>
        </row>
        <row r="71">
          <cell r="C71" t="str">
            <v>Тамбовская область</v>
          </cell>
        </row>
        <row r="72">
          <cell r="C72" t="str">
            <v>Тверская область</v>
          </cell>
        </row>
        <row r="73">
          <cell r="C73" t="str">
            <v>Томская область</v>
          </cell>
        </row>
        <row r="74">
          <cell r="C74" t="str">
            <v>Тульская область</v>
          </cell>
        </row>
        <row r="75">
          <cell r="C75" t="str">
            <v>Тюменская область</v>
          </cell>
        </row>
        <row r="76">
          <cell r="C76" t="str">
            <v>Ульяновская область</v>
          </cell>
        </row>
        <row r="77">
          <cell r="C77" t="str">
            <v>Челябинская область</v>
          </cell>
        </row>
        <row r="78">
          <cell r="C78" t="str">
            <v>Забайкальский край</v>
          </cell>
        </row>
        <row r="79">
          <cell r="C79" t="str">
            <v>Ярославская область</v>
          </cell>
        </row>
        <row r="80">
          <cell r="C80" t="str">
            <v>Москва город</v>
          </cell>
        </row>
        <row r="81">
          <cell r="C81" t="str">
            <v>Санкт-Петербург город</v>
          </cell>
        </row>
        <row r="82">
          <cell r="C82" t="str">
            <v>Еврейская автономная область</v>
          </cell>
        </row>
        <row r="83">
          <cell r="C83" t="str">
            <v>Ненецкий автономный округ</v>
          </cell>
        </row>
        <row r="84">
          <cell r="C84" t="str">
            <v>Ханты-Мансийский Автономный округ - Югра автономный округ</v>
          </cell>
        </row>
        <row r="85">
          <cell r="C85" t="str">
            <v>Чукотский автономный округ</v>
          </cell>
        </row>
        <row r="86">
          <cell r="C86" t="str">
            <v>Ямало-Ненецкий автономный округ</v>
          </cell>
        </row>
        <row r="87">
          <cell r="C87" t="str">
            <v>Крым республика</v>
          </cell>
        </row>
        <row r="88">
          <cell r="C88" t="str">
            <v>Севастополь город</v>
          </cell>
        </row>
        <row r="89">
          <cell r="C89" t="str">
            <v>Байконур город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J89"/>
  <sheetViews>
    <sheetView view="pageBreakPreview" zoomScaleNormal="100" workbookViewId="0">
      <selection activeCell="J22" sqref="J22"/>
    </sheetView>
  </sheetViews>
  <sheetFormatPr defaultColWidth="8.85546875" defaultRowHeight="12.75" x14ac:dyDescent="0.2"/>
  <cols>
    <col min="1" max="2" width="8.85546875" style="1"/>
    <col min="3" max="3" width="57" style="1" customWidth="1"/>
    <col min="4" max="4" width="16" style="1" customWidth="1"/>
    <col min="5" max="7" width="8.85546875" style="1"/>
    <col min="8" max="8" width="18.85546875" style="1" customWidth="1"/>
    <col min="9" max="1024" width="8.85546875" style="1"/>
  </cols>
  <sheetData>
    <row r="3" spans="3:8" ht="25.5" x14ac:dyDescent="0.2">
      <c r="C3" s="2" t="s">
        <v>0</v>
      </c>
      <c r="D3" s="3" t="s">
        <v>1</v>
      </c>
    </row>
    <row r="4" spans="3:8" x14ac:dyDescent="0.2">
      <c r="C4" s="4" t="s">
        <v>2</v>
      </c>
      <c r="D4" s="4">
        <v>1</v>
      </c>
      <c r="H4" s="1" t="s">
        <v>3</v>
      </c>
    </row>
    <row r="5" spans="3:8" x14ac:dyDescent="0.2">
      <c r="C5" s="4" t="s">
        <v>4</v>
      </c>
      <c r="D5" s="4">
        <v>2</v>
      </c>
      <c r="H5" s="1" t="s">
        <v>5</v>
      </c>
    </row>
    <row r="6" spans="3:8" x14ac:dyDescent="0.2">
      <c r="C6" s="4" t="s">
        <v>6</v>
      </c>
      <c r="D6" s="4">
        <v>3</v>
      </c>
      <c r="H6" s="1" t="s">
        <v>7</v>
      </c>
    </row>
    <row r="7" spans="3:8" x14ac:dyDescent="0.2">
      <c r="C7" s="4" t="s">
        <v>8</v>
      </c>
      <c r="D7" s="4">
        <v>4</v>
      </c>
    </row>
    <row r="8" spans="3:8" x14ac:dyDescent="0.2">
      <c r="C8" s="4" t="s">
        <v>9</v>
      </c>
      <c r="D8" s="4">
        <v>5</v>
      </c>
    </row>
    <row r="9" spans="3:8" x14ac:dyDescent="0.2">
      <c r="C9" s="4" t="s">
        <v>10</v>
      </c>
      <c r="D9" s="4">
        <v>6</v>
      </c>
    </row>
    <row r="10" spans="3:8" x14ac:dyDescent="0.2">
      <c r="C10" s="4" t="s">
        <v>11</v>
      </c>
      <c r="D10" s="4">
        <v>7</v>
      </c>
    </row>
    <row r="11" spans="3:8" x14ac:dyDescent="0.2">
      <c r="C11" s="4" t="s">
        <v>12</v>
      </c>
      <c r="D11" s="4">
        <v>8</v>
      </c>
    </row>
    <row r="12" spans="3:8" x14ac:dyDescent="0.2">
      <c r="C12" s="4" t="s">
        <v>13</v>
      </c>
      <c r="D12" s="4">
        <v>9</v>
      </c>
    </row>
    <row r="13" spans="3:8" x14ac:dyDescent="0.2">
      <c r="C13" s="4" t="s">
        <v>14</v>
      </c>
      <c r="D13" s="4">
        <v>10</v>
      </c>
    </row>
    <row r="14" spans="3:8" x14ac:dyDescent="0.2">
      <c r="C14" s="4" t="s">
        <v>15</v>
      </c>
      <c r="D14" s="4">
        <v>11</v>
      </c>
    </row>
    <row r="15" spans="3:8" x14ac:dyDescent="0.2">
      <c r="C15" s="4" t="s">
        <v>16</v>
      </c>
      <c r="D15" s="4">
        <v>12</v>
      </c>
    </row>
    <row r="16" spans="3:8" x14ac:dyDescent="0.2">
      <c r="C16" s="4" t="s">
        <v>17</v>
      </c>
      <c r="D16" s="4">
        <v>13</v>
      </c>
    </row>
    <row r="17" spans="3:4" x14ac:dyDescent="0.2">
      <c r="C17" s="4" t="s">
        <v>18</v>
      </c>
      <c r="D17" s="4">
        <v>14</v>
      </c>
    </row>
    <row r="18" spans="3:4" x14ac:dyDescent="0.2">
      <c r="C18" s="4" t="s">
        <v>19</v>
      </c>
      <c r="D18" s="4">
        <v>15</v>
      </c>
    </row>
    <row r="19" spans="3:4" x14ac:dyDescent="0.2">
      <c r="C19" s="4" t="s">
        <v>20</v>
      </c>
      <c r="D19" s="4">
        <v>16</v>
      </c>
    </row>
    <row r="20" spans="3:4" x14ac:dyDescent="0.2">
      <c r="C20" s="4" t="s">
        <v>21</v>
      </c>
      <c r="D20" s="4">
        <v>17</v>
      </c>
    </row>
    <row r="21" spans="3:4" x14ac:dyDescent="0.2">
      <c r="C21" s="4" t="s">
        <v>22</v>
      </c>
      <c r="D21" s="4">
        <v>18</v>
      </c>
    </row>
    <row r="22" spans="3:4" x14ac:dyDescent="0.2">
      <c r="C22" s="4" t="s">
        <v>23</v>
      </c>
      <c r="D22" s="4">
        <v>19</v>
      </c>
    </row>
    <row r="23" spans="3:4" x14ac:dyDescent="0.2">
      <c r="C23" s="4" t="s">
        <v>24</v>
      </c>
      <c r="D23" s="4">
        <v>20</v>
      </c>
    </row>
    <row r="24" spans="3:4" x14ac:dyDescent="0.2">
      <c r="C24" s="4" t="s">
        <v>25</v>
      </c>
      <c r="D24" s="4">
        <v>21</v>
      </c>
    </row>
    <row r="25" spans="3:4" x14ac:dyDescent="0.2">
      <c r="C25" s="4" t="s">
        <v>26</v>
      </c>
      <c r="D25" s="4">
        <v>22</v>
      </c>
    </row>
    <row r="26" spans="3:4" x14ac:dyDescent="0.2">
      <c r="C26" s="4" t="s">
        <v>27</v>
      </c>
      <c r="D26" s="4">
        <v>23</v>
      </c>
    </row>
    <row r="27" spans="3:4" x14ac:dyDescent="0.2">
      <c r="C27" s="4" t="s">
        <v>28</v>
      </c>
      <c r="D27" s="4">
        <v>24</v>
      </c>
    </row>
    <row r="28" spans="3:4" x14ac:dyDescent="0.2">
      <c r="C28" s="4" t="s">
        <v>29</v>
      </c>
      <c r="D28" s="4">
        <v>25</v>
      </c>
    </row>
    <row r="29" spans="3:4" x14ac:dyDescent="0.2">
      <c r="C29" s="4" t="s">
        <v>30</v>
      </c>
      <c r="D29" s="4">
        <v>26</v>
      </c>
    </row>
    <row r="30" spans="3:4" x14ac:dyDescent="0.2">
      <c r="C30" s="4" t="s">
        <v>31</v>
      </c>
      <c r="D30" s="4">
        <v>27</v>
      </c>
    </row>
    <row r="31" spans="3:4" x14ac:dyDescent="0.2">
      <c r="C31" s="4" t="s">
        <v>32</v>
      </c>
      <c r="D31" s="4">
        <v>28</v>
      </c>
    </row>
    <row r="32" spans="3:4" x14ac:dyDescent="0.2">
      <c r="C32" s="4" t="s">
        <v>33</v>
      </c>
      <c r="D32" s="4">
        <v>29</v>
      </c>
    </row>
    <row r="33" spans="3:4" x14ac:dyDescent="0.2">
      <c r="C33" s="4" t="s">
        <v>34</v>
      </c>
      <c r="D33" s="4">
        <v>30</v>
      </c>
    </row>
    <row r="34" spans="3:4" x14ac:dyDescent="0.2">
      <c r="C34" s="4" t="s">
        <v>35</v>
      </c>
      <c r="D34" s="4">
        <v>31</v>
      </c>
    </row>
    <row r="35" spans="3:4" x14ac:dyDescent="0.2">
      <c r="C35" s="4" t="s">
        <v>36</v>
      </c>
      <c r="D35" s="4">
        <v>32</v>
      </c>
    </row>
    <row r="36" spans="3:4" x14ac:dyDescent="0.2">
      <c r="C36" s="4" t="s">
        <v>37</v>
      </c>
      <c r="D36" s="4">
        <v>33</v>
      </c>
    </row>
    <row r="37" spans="3:4" x14ac:dyDescent="0.2">
      <c r="C37" s="4" t="s">
        <v>38</v>
      </c>
      <c r="D37" s="4">
        <v>34</v>
      </c>
    </row>
    <row r="38" spans="3:4" x14ac:dyDescent="0.2">
      <c r="C38" s="4" t="s">
        <v>39</v>
      </c>
      <c r="D38" s="4">
        <v>35</v>
      </c>
    </row>
    <row r="39" spans="3:4" x14ac:dyDescent="0.2">
      <c r="C39" s="4" t="s">
        <v>40</v>
      </c>
      <c r="D39" s="4">
        <v>36</v>
      </c>
    </row>
    <row r="40" spans="3:4" x14ac:dyDescent="0.2">
      <c r="C40" s="4" t="s">
        <v>41</v>
      </c>
      <c r="D40" s="4">
        <v>37</v>
      </c>
    </row>
    <row r="41" spans="3:4" x14ac:dyDescent="0.2">
      <c r="C41" s="4" t="s">
        <v>42</v>
      </c>
      <c r="D41" s="4">
        <v>38</v>
      </c>
    </row>
    <row r="42" spans="3:4" x14ac:dyDescent="0.2">
      <c r="C42" s="4" t="s">
        <v>43</v>
      </c>
      <c r="D42" s="4">
        <v>39</v>
      </c>
    </row>
    <row r="43" spans="3:4" x14ac:dyDescent="0.2">
      <c r="C43" s="4" t="s">
        <v>44</v>
      </c>
      <c r="D43" s="4">
        <v>40</v>
      </c>
    </row>
    <row r="44" spans="3:4" x14ac:dyDescent="0.2">
      <c r="C44" s="4" t="s">
        <v>45</v>
      </c>
      <c r="D44" s="4">
        <v>41</v>
      </c>
    </row>
    <row r="45" spans="3:4" x14ac:dyDescent="0.2">
      <c r="C45" s="4" t="s">
        <v>46</v>
      </c>
      <c r="D45" s="4">
        <v>42</v>
      </c>
    </row>
    <row r="46" spans="3:4" x14ac:dyDescent="0.2">
      <c r="C46" s="4" t="s">
        <v>47</v>
      </c>
      <c r="D46" s="4">
        <v>43</v>
      </c>
    </row>
    <row r="47" spans="3:4" x14ac:dyDescent="0.2">
      <c r="C47" s="4" t="s">
        <v>48</v>
      </c>
      <c r="D47" s="4">
        <v>44</v>
      </c>
    </row>
    <row r="48" spans="3:4" x14ac:dyDescent="0.2">
      <c r="C48" s="4" t="s">
        <v>49</v>
      </c>
      <c r="D48" s="4">
        <v>45</v>
      </c>
    </row>
    <row r="49" spans="3:4" x14ac:dyDescent="0.2">
      <c r="C49" s="4" t="s">
        <v>50</v>
      </c>
      <c r="D49" s="4">
        <v>46</v>
      </c>
    </row>
    <row r="50" spans="3:4" x14ac:dyDescent="0.2">
      <c r="C50" s="4" t="s">
        <v>51</v>
      </c>
      <c r="D50" s="4">
        <v>47</v>
      </c>
    </row>
    <row r="51" spans="3:4" x14ac:dyDescent="0.2">
      <c r="C51" s="4" t="s">
        <v>52</v>
      </c>
      <c r="D51" s="4">
        <v>48</v>
      </c>
    </row>
    <row r="52" spans="3:4" x14ac:dyDescent="0.2">
      <c r="C52" s="4" t="s">
        <v>53</v>
      </c>
      <c r="D52" s="4">
        <v>49</v>
      </c>
    </row>
    <row r="53" spans="3:4" x14ac:dyDescent="0.2">
      <c r="C53" s="4" t="s">
        <v>54</v>
      </c>
      <c r="D53" s="4">
        <v>50</v>
      </c>
    </row>
    <row r="54" spans="3:4" x14ac:dyDescent="0.2">
      <c r="C54" s="4" t="s">
        <v>55</v>
      </c>
      <c r="D54" s="4">
        <v>51</v>
      </c>
    </row>
    <row r="55" spans="3:4" x14ac:dyDescent="0.2">
      <c r="C55" s="4" t="s">
        <v>56</v>
      </c>
      <c r="D55" s="4">
        <v>52</v>
      </c>
    </row>
    <row r="56" spans="3:4" x14ac:dyDescent="0.2">
      <c r="C56" s="4" t="s">
        <v>57</v>
      </c>
      <c r="D56" s="4">
        <v>53</v>
      </c>
    </row>
    <row r="57" spans="3:4" x14ac:dyDescent="0.2">
      <c r="C57" s="4" t="s">
        <v>58</v>
      </c>
      <c r="D57" s="4">
        <v>54</v>
      </c>
    </row>
    <row r="58" spans="3:4" x14ac:dyDescent="0.2">
      <c r="C58" s="4" t="s">
        <v>59</v>
      </c>
      <c r="D58" s="4">
        <v>55</v>
      </c>
    </row>
    <row r="59" spans="3:4" x14ac:dyDescent="0.2">
      <c r="C59" s="4" t="s">
        <v>60</v>
      </c>
      <c r="D59" s="4">
        <v>56</v>
      </c>
    </row>
    <row r="60" spans="3:4" x14ac:dyDescent="0.2">
      <c r="C60" s="4" t="s">
        <v>61</v>
      </c>
      <c r="D60" s="4">
        <v>57</v>
      </c>
    </row>
    <row r="61" spans="3:4" x14ac:dyDescent="0.2">
      <c r="C61" s="4" t="s">
        <v>62</v>
      </c>
      <c r="D61" s="4">
        <v>58</v>
      </c>
    </row>
    <row r="62" spans="3:4" x14ac:dyDescent="0.2">
      <c r="C62" s="4" t="s">
        <v>63</v>
      </c>
      <c r="D62" s="4">
        <v>59</v>
      </c>
    </row>
    <row r="63" spans="3:4" x14ac:dyDescent="0.2">
      <c r="C63" s="4" t="s">
        <v>64</v>
      </c>
      <c r="D63" s="4">
        <v>60</v>
      </c>
    </row>
    <row r="64" spans="3:4" x14ac:dyDescent="0.2">
      <c r="C64" s="4" t="s">
        <v>65</v>
      </c>
      <c r="D64" s="4">
        <v>61</v>
      </c>
    </row>
    <row r="65" spans="3:4" x14ac:dyDescent="0.2">
      <c r="C65" s="4" t="s">
        <v>66</v>
      </c>
      <c r="D65" s="4">
        <v>62</v>
      </c>
    </row>
    <row r="66" spans="3:4" x14ac:dyDescent="0.2">
      <c r="C66" s="4" t="s">
        <v>67</v>
      </c>
      <c r="D66" s="4">
        <v>63</v>
      </c>
    </row>
    <row r="67" spans="3:4" x14ac:dyDescent="0.2">
      <c r="C67" s="4" t="s">
        <v>68</v>
      </c>
      <c r="D67" s="4">
        <v>64</v>
      </c>
    </row>
    <row r="68" spans="3:4" x14ac:dyDescent="0.2">
      <c r="C68" s="4" t="s">
        <v>69</v>
      </c>
      <c r="D68" s="4">
        <v>65</v>
      </c>
    </row>
    <row r="69" spans="3:4" x14ac:dyDescent="0.2">
      <c r="C69" s="4" t="s">
        <v>70</v>
      </c>
      <c r="D69" s="4">
        <v>66</v>
      </c>
    </row>
    <row r="70" spans="3:4" x14ac:dyDescent="0.2">
      <c r="C70" s="4" t="s">
        <v>71</v>
      </c>
      <c r="D70" s="4">
        <v>67</v>
      </c>
    </row>
    <row r="71" spans="3:4" x14ac:dyDescent="0.2">
      <c r="C71" s="4" t="s">
        <v>72</v>
      </c>
      <c r="D71" s="4">
        <v>68</v>
      </c>
    </row>
    <row r="72" spans="3:4" x14ac:dyDescent="0.2">
      <c r="C72" s="4" t="s">
        <v>73</v>
      </c>
      <c r="D72" s="4">
        <v>69</v>
      </c>
    </row>
    <row r="73" spans="3:4" x14ac:dyDescent="0.2">
      <c r="C73" s="4" t="s">
        <v>74</v>
      </c>
      <c r="D73" s="4">
        <v>70</v>
      </c>
    </row>
    <row r="74" spans="3:4" x14ac:dyDescent="0.2">
      <c r="C74" s="4" t="s">
        <v>75</v>
      </c>
      <c r="D74" s="4">
        <v>71</v>
      </c>
    </row>
    <row r="75" spans="3:4" x14ac:dyDescent="0.2">
      <c r="C75" s="4" t="s">
        <v>76</v>
      </c>
      <c r="D75" s="4">
        <v>72</v>
      </c>
    </row>
    <row r="76" spans="3:4" x14ac:dyDescent="0.2">
      <c r="C76" s="4" t="s">
        <v>77</v>
      </c>
      <c r="D76" s="4">
        <v>73</v>
      </c>
    </row>
    <row r="77" spans="3:4" x14ac:dyDescent="0.2">
      <c r="C77" s="4" t="s">
        <v>78</v>
      </c>
      <c r="D77" s="4">
        <v>74</v>
      </c>
    </row>
    <row r="78" spans="3:4" x14ac:dyDescent="0.2">
      <c r="C78" s="4" t="s">
        <v>79</v>
      </c>
      <c r="D78" s="4">
        <v>75</v>
      </c>
    </row>
    <row r="79" spans="3:4" x14ac:dyDescent="0.2">
      <c r="C79" s="4" t="s">
        <v>80</v>
      </c>
      <c r="D79" s="4">
        <v>76</v>
      </c>
    </row>
    <row r="80" spans="3:4" x14ac:dyDescent="0.2">
      <c r="C80" s="4" t="s">
        <v>81</v>
      </c>
      <c r="D80" s="4">
        <v>77</v>
      </c>
    </row>
    <row r="81" spans="3:4" x14ac:dyDescent="0.2">
      <c r="C81" s="4" t="s">
        <v>82</v>
      </c>
      <c r="D81" s="4">
        <v>78</v>
      </c>
    </row>
    <row r="82" spans="3:4" x14ac:dyDescent="0.2">
      <c r="C82" s="4" t="s">
        <v>83</v>
      </c>
      <c r="D82" s="4">
        <v>79</v>
      </c>
    </row>
    <row r="83" spans="3:4" x14ac:dyDescent="0.2">
      <c r="C83" s="4" t="s">
        <v>84</v>
      </c>
      <c r="D83" s="4">
        <v>83</v>
      </c>
    </row>
    <row r="84" spans="3:4" x14ac:dyDescent="0.2">
      <c r="C84" s="4" t="s">
        <v>85</v>
      </c>
      <c r="D84" s="4">
        <v>86</v>
      </c>
    </row>
    <row r="85" spans="3:4" x14ac:dyDescent="0.2">
      <c r="C85" s="4" t="s">
        <v>86</v>
      </c>
      <c r="D85" s="4">
        <v>87</v>
      </c>
    </row>
    <row r="86" spans="3:4" x14ac:dyDescent="0.2">
      <c r="C86" s="4" t="s">
        <v>87</v>
      </c>
      <c r="D86" s="4">
        <v>89</v>
      </c>
    </row>
    <row r="87" spans="3:4" x14ac:dyDescent="0.2">
      <c r="C87" s="4" t="s">
        <v>88</v>
      </c>
      <c r="D87" s="4">
        <v>91</v>
      </c>
    </row>
    <row r="88" spans="3:4" x14ac:dyDescent="0.2">
      <c r="C88" s="4" t="s">
        <v>89</v>
      </c>
      <c r="D88" s="4">
        <v>92</v>
      </c>
    </row>
    <row r="89" spans="3:4" x14ac:dyDescent="0.2">
      <c r="C89" s="4" t="s">
        <v>90</v>
      </c>
      <c r="D89" s="4">
        <v>99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J26"/>
  <sheetViews>
    <sheetView zoomScaleNormal="100" zoomScaleSheetLayoutView="100" workbookViewId="0">
      <selection activeCell="B3" sqref="B3"/>
    </sheetView>
  </sheetViews>
  <sheetFormatPr defaultColWidth="8.85546875" defaultRowHeight="13.5" x14ac:dyDescent="0.25"/>
  <cols>
    <col min="1" max="2" width="39.42578125" style="5" customWidth="1"/>
    <col min="3" max="4" width="9.7109375" style="5" customWidth="1"/>
    <col min="5" max="5" width="10.140625" style="5" customWidth="1"/>
    <col min="6" max="1024" width="8.85546875" style="5"/>
  </cols>
  <sheetData>
    <row r="2" spans="1:12" ht="17.45" customHeight="1" x14ac:dyDescent="0.25">
      <c r="A2" s="6" t="s">
        <v>91</v>
      </c>
      <c r="B2" s="7">
        <v>46050</v>
      </c>
      <c r="H2" s="89"/>
      <c r="I2" s="89"/>
      <c r="J2" s="89"/>
      <c r="K2" s="89"/>
      <c r="L2" s="89"/>
    </row>
    <row r="3" spans="1:12" ht="17.45" customHeight="1" x14ac:dyDescent="0.25">
      <c r="A3" s="8" t="s">
        <v>92</v>
      </c>
      <c r="B3" s="9"/>
    </row>
    <row r="4" spans="1:12" ht="17.45" customHeight="1" x14ac:dyDescent="0.25">
      <c r="A4" s="8" t="s">
        <v>93</v>
      </c>
      <c r="B4" s="9" t="s">
        <v>193</v>
      </c>
    </row>
    <row r="5" spans="1:12" ht="17.45" customHeight="1" x14ac:dyDescent="0.25">
      <c r="A5" s="6" t="s">
        <v>94</v>
      </c>
      <c r="B5" s="10" t="s">
        <v>18</v>
      </c>
    </row>
    <row r="6" spans="1:12" ht="17.45" customHeight="1" x14ac:dyDescent="0.25">
      <c r="A6" s="9" t="s">
        <v>95</v>
      </c>
      <c r="B6" s="9">
        <f>VLOOKUP(B5,Справочник!C4:D89,2,FALSE())</f>
        <v>14</v>
      </c>
    </row>
    <row r="9" spans="1:12" ht="20.25" x14ac:dyDescent="0.3">
      <c r="A9" s="11" t="s">
        <v>96</v>
      </c>
    </row>
    <row r="11" spans="1:12" x14ac:dyDescent="0.25">
      <c r="A11" s="12" t="s">
        <v>97</v>
      </c>
    </row>
    <row r="12" spans="1:12" ht="35.450000000000003" customHeight="1" x14ac:dyDescent="0.25">
      <c r="A12" s="13" t="s">
        <v>98</v>
      </c>
      <c r="B12" s="13" t="s">
        <v>99</v>
      </c>
      <c r="C12" s="13" t="s">
        <v>100</v>
      </c>
      <c r="D12" s="13" t="s">
        <v>101</v>
      </c>
      <c r="E12" s="13" t="s">
        <v>102</v>
      </c>
    </row>
    <row r="13" spans="1:12" ht="12" customHeight="1" x14ac:dyDescent="0.25">
      <c r="A13" s="14">
        <v>1</v>
      </c>
      <c r="B13" s="14">
        <v>2</v>
      </c>
      <c r="C13" s="14">
        <v>3</v>
      </c>
      <c r="D13" s="14">
        <v>4</v>
      </c>
      <c r="E13" s="14">
        <v>5</v>
      </c>
    </row>
    <row r="14" spans="1:12" ht="17.45" customHeight="1" x14ac:dyDescent="0.25">
      <c r="A14" s="8" t="s">
        <v>181</v>
      </c>
      <c r="B14" s="8" t="s">
        <v>181</v>
      </c>
      <c r="C14" s="8">
        <v>18</v>
      </c>
      <c r="D14" s="8">
        <v>96</v>
      </c>
      <c r="E14" s="8">
        <v>96</v>
      </c>
    </row>
    <row r="15" spans="1:12" ht="17.45" customHeight="1" x14ac:dyDescent="0.25">
      <c r="A15" s="8" t="s">
        <v>103</v>
      </c>
      <c r="B15" s="8" t="s">
        <v>105</v>
      </c>
      <c r="C15" s="8"/>
      <c r="D15" s="8"/>
      <c r="E15" s="8"/>
    </row>
    <row r="16" spans="1:12" ht="17.45" customHeight="1" x14ac:dyDescent="0.25">
      <c r="A16" s="8" t="s">
        <v>103</v>
      </c>
      <c r="B16" s="8" t="s">
        <v>106</v>
      </c>
      <c r="C16" s="8"/>
      <c r="D16" s="8"/>
      <c r="E16" s="8"/>
    </row>
    <row r="17" spans="1:5" ht="17.45" customHeight="1" x14ac:dyDescent="0.25">
      <c r="A17" s="8" t="s">
        <v>107</v>
      </c>
      <c r="B17" s="8" t="s">
        <v>104</v>
      </c>
      <c r="C17" s="8"/>
      <c r="D17" s="8"/>
      <c r="E17" s="8"/>
    </row>
    <row r="18" spans="1:5" ht="17.45" customHeight="1" x14ac:dyDescent="0.25">
      <c r="A18" s="8" t="s">
        <v>108</v>
      </c>
      <c r="B18" s="8" t="s">
        <v>104</v>
      </c>
      <c r="C18" s="8"/>
      <c r="D18" s="8"/>
      <c r="E18" s="8"/>
    </row>
    <row r="19" spans="1:5" ht="17.45" customHeight="1" x14ac:dyDescent="0.25">
      <c r="A19" s="8" t="s">
        <v>109</v>
      </c>
      <c r="B19" s="8" t="s">
        <v>104</v>
      </c>
      <c r="C19" s="8"/>
      <c r="D19" s="8"/>
      <c r="E19" s="8"/>
    </row>
    <row r="21" spans="1:5" x14ac:dyDescent="0.25">
      <c r="A21" s="12" t="s">
        <v>110</v>
      </c>
    </row>
    <row r="22" spans="1:5" ht="35.450000000000003" customHeight="1" x14ac:dyDescent="0.25">
      <c r="A22" s="13" t="s">
        <v>111</v>
      </c>
      <c r="B22" s="90" t="s">
        <v>112</v>
      </c>
      <c r="C22" s="90"/>
      <c r="D22" s="90"/>
    </row>
    <row r="23" spans="1:5" ht="12" customHeight="1" x14ac:dyDescent="0.25">
      <c r="A23" s="14">
        <v>1</v>
      </c>
      <c r="B23" s="91">
        <v>2</v>
      </c>
      <c r="C23" s="91"/>
      <c r="D23" s="91"/>
    </row>
    <row r="24" spans="1:5" ht="17.45" customHeight="1" x14ac:dyDescent="0.25">
      <c r="A24" s="8" t="s">
        <v>113</v>
      </c>
      <c r="B24" s="88" t="s">
        <v>114</v>
      </c>
      <c r="C24" s="88"/>
      <c r="D24" s="88"/>
    </row>
    <row r="25" spans="1:5" ht="17.45" customHeight="1" x14ac:dyDescent="0.25">
      <c r="A25" s="8" t="s">
        <v>113</v>
      </c>
      <c r="B25" s="88" t="s">
        <v>115</v>
      </c>
      <c r="C25" s="88"/>
      <c r="D25" s="88"/>
    </row>
    <row r="26" spans="1:5" ht="17.45" customHeight="1" x14ac:dyDescent="0.25">
      <c r="A26" s="8" t="s">
        <v>116</v>
      </c>
      <c r="B26" s="88" t="s">
        <v>114</v>
      </c>
      <c r="C26" s="88"/>
      <c r="D26" s="88"/>
    </row>
  </sheetData>
  <mergeCells count="6">
    <mergeCell ref="B26:D26"/>
    <mergeCell ref="H2:L2"/>
    <mergeCell ref="B22:D22"/>
    <mergeCell ref="B23:D23"/>
    <mergeCell ref="B24:D24"/>
    <mergeCell ref="B25:D25"/>
  </mergeCells>
  <dataValidations count="1">
    <dataValidation type="list" allowBlank="1" showInputMessage="1" showErrorMessage="1" sqref="B5">
      <formula1>SF</formula1>
      <formula2>0</formula2>
    </dataValidation>
  </dataValidations>
  <pageMargins left="0.78749999999999998" right="0.78749999999999998" top="0.74791666666666701" bottom="0.74791666666666701" header="0.51180555555555496" footer="0.51180555555555496"/>
  <pageSetup paperSize="9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J17"/>
  <sheetViews>
    <sheetView zoomScaleNormal="100" zoomScaleSheetLayoutView="100" workbookViewId="0">
      <selection activeCell="F28" sqref="F28"/>
    </sheetView>
  </sheetViews>
  <sheetFormatPr defaultColWidth="8.85546875" defaultRowHeight="13.5" x14ac:dyDescent="0.25"/>
  <cols>
    <col min="1" max="1" width="33.140625" style="72" customWidth="1"/>
    <col min="2" max="11" width="7.28515625" style="72" customWidth="1"/>
    <col min="12" max="1024" width="8.85546875" style="72"/>
    <col min="1025" max="16384" width="8.85546875" style="71"/>
  </cols>
  <sheetData>
    <row r="2" spans="1:11" ht="20.25" x14ac:dyDescent="0.3">
      <c r="A2" s="11" t="s">
        <v>117</v>
      </c>
    </row>
    <row r="4" spans="1:11" x14ac:dyDescent="0.25">
      <c r="A4" s="12" t="s">
        <v>118</v>
      </c>
    </row>
    <row r="5" spans="1:11" ht="16.899999999999999" customHeight="1" x14ac:dyDescent="0.25">
      <c r="A5" s="92" t="s">
        <v>119</v>
      </c>
      <c r="B5" s="92" t="s">
        <v>120</v>
      </c>
      <c r="C5" s="92"/>
      <c r="D5" s="92"/>
      <c r="E5" s="92"/>
      <c r="F5" s="92"/>
      <c r="G5" s="92" t="s">
        <v>121</v>
      </c>
      <c r="H5" s="92"/>
      <c r="I5" s="92"/>
      <c r="J5" s="92"/>
      <c r="K5" s="92"/>
    </row>
    <row r="6" spans="1:11" ht="28.9" customHeight="1" x14ac:dyDescent="0.25">
      <c r="A6" s="92"/>
      <c r="B6" s="79" t="s">
        <v>122</v>
      </c>
      <c r="C6" s="45" t="s">
        <v>123</v>
      </c>
      <c r="D6" s="45" t="s">
        <v>124</v>
      </c>
      <c r="E6" s="45" t="s">
        <v>125</v>
      </c>
      <c r="F6" s="45" t="s">
        <v>126</v>
      </c>
      <c r="G6" s="79" t="s">
        <v>122</v>
      </c>
      <c r="H6" s="45" t="s">
        <v>127</v>
      </c>
      <c r="I6" s="45" t="s">
        <v>128</v>
      </c>
      <c r="J6" s="45" t="s">
        <v>129</v>
      </c>
      <c r="K6" s="45" t="s">
        <v>130</v>
      </c>
    </row>
    <row r="7" spans="1:11" ht="12" customHeight="1" x14ac:dyDescent="0.25">
      <c r="A7" s="74">
        <v>1</v>
      </c>
      <c r="B7" s="74">
        <v>2</v>
      </c>
      <c r="C7" s="74">
        <v>3</v>
      </c>
      <c r="D7" s="74">
        <v>4</v>
      </c>
      <c r="E7" s="74">
        <v>5</v>
      </c>
      <c r="F7" s="74">
        <v>6</v>
      </c>
      <c r="G7" s="74">
        <v>7</v>
      </c>
      <c r="H7" s="74">
        <v>8</v>
      </c>
      <c r="I7" s="74">
        <v>9</v>
      </c>
      <c r="J7" s="74">
        <v>10</v>
      </c>
      <c r="K7" s="74">
        <v>11</v>
      </c>
    </row>
    <row r="8" spans="1:11" s="16" customFormat="1" ht="30.6" customHeight="1" x14ac:dyDescent="0.25">
      <c r="A8" s="46" t="s">
        <v>204</v>
      </c>
      <c r="B8" s="49">
        <v>96.144999999999996</v>
      </c>
      <c r="C8" s="76"/>
      <c r="D8" s="49">
        <v>59.704999999999998</v>
      </c>
      <c r="E8" s="49">
        <v>35.844000000000001</v>
      </c>
      <c r="F8" s="49">
        <v>0.59599999999999997</v>
      </c>
      <c r="G8" s="49">
        <v>99.888999999999996</v>
      </c>
      <c r="H8" s="49">
        <v>39.265000000000001</v>
      </c>
      <c r="I8" s="49">
        <v>40.072000000000003</v>
      </c>
      <c r="J8" s="49">
        <v>20.552</v>
      </c>
      <c r="K8" s="47"/>
    </row>
    <row r="9" spans="1:11" s="16" customFormat="1" ht="30.6" customHeight="1" x14ac:dyDescent="0.25">
      <c r="A9" s="48" t="s">
        <v>131</v>
      </c>
      <c r="B9" s="57">
        <v>89.474999999999994</v>
      </c>
      <c r="C9" s="57"/>
      <c r="D9" s="49">
        <v>53.362000000000002</v>
      </c>
      <c r="E9" s="49">
        <v>35.517000000000003</v>
      </c>
      <c r="F9" s="49">
        <v>0.59599999999999997</v>
      </c>
      <c r="G9" s="49">
        <v>70.489000000000004</v>
      </c>
      <c r="H9" s="49">
        <v>25.872</v>
      </c>
      <c r="I9" s="49">
        <v>26.992999999999999</v>
      </c>
      <c r="J9" s="49">
        <v>17.623999999999999</v>
      </c>
      <c r="K9" s="47"/>
    </row>
    <row r="11" spans="1:11" x14ac:dyDescent="0.25">
      <c r="A11" s="12" t="s">
        <v>132</v>
      </c>
    </row>
    <row r="12" spans="1:11" ht="16.899999999999999" customHeight="1" x14ac:dyDescent="0.25">
      <c r="A12" s="92" t="s">
        <v>119</v>
      </c>
      <c r="B12" s="92" t="s">
        <v>120</v>
      </c>
      <c r="C12" s="92"/>
      <c r="D12" s="92"/>
      <c r="E12" s="92"/>
      <c r="F12" s="92"/>
      <c r="G12" s="92" t="s">
        <v>121</v>
      </c>
      <c r="H12" s="92"/>
      <c r="I12" s="92"/>
      <c r="J12" s="92"/>
      <c r="K12" s="92"/>
    </row>
    <row r="13" spans="1:11" ht="28.9" customHeight="1" x14ac:dyDescent="0.25">
      <c r="A13" s="92"/>
      <c r="B13" s="79" t="s">
        <v>122</v>
      </c>
      <c r="C13" s="45" t="s">
        <v>123</v>
      </c>
      <c r="D13" s="45" t="s">
        <v>124</v>
      </c>
      <c r="E13" s="45" t="s">
        <v>125</v>
      </c>
      <c r="F13" s="45" t="s">
        <v>126</v>
      </c>
      <c r="G13" s="79" t="s">
        <v>122</v>
      </c>
      <c r="H13" s="45" t="s">
        <v>127</v>
      </c>
      <c r="I13" s="45" t="s">
        <v>128</v>
      </c>
      <c r="J13" s="45" t="s">
        <v>129</v>
      </c>
      <c r="K13" s="45" t="s">
        <v>130</v>
      </c>
    </row>
    <row r="14" spans="1:11" ht="12" customHeight="1" x14ac:dyDescent="0.25">
      <c r="A14" s="74">
        <v>1</v>
      </c>
      <c r="B14" s="74">
        <v>2</v>
      </c>
      <c r="C14" s="74">
        <v>3</v>
      </c>
      <c r="D14" s="74">
        <v>4</v>
      </c>
      <c r="E14" s="74">
        <v>5</v>
      </c>
      <c r="F14" s="74">
        <v>6</v>
      </c>
      <c r="G14" s="74">
        <v>7</v>
      </c>
      <c r="H14" s="74">
        <v>8</v>
      </c>
      <c r="I14" s="74">
        <v>9</v>
      </c>
      <c r="J14" s="74">
        <v>10</v>
      </c>
      <c r="K14" s="74">
        <v>11</v>
      </c>
    </row>
    <row r="15" spans="1:11" s="16" customFormat="1" ht="30.6" customHeight="1" x14ac:dyDescent="0.25">
      <c r="A15" s="58" t="s">
        <v>205</v>
      </c>
      <c r="B15" s="49">
        <v>7.5789999999999997</v>
      </c>
      <c r="C15" s="76"/>
      <c r="D15" s="49">
        <v>4.7460000000000004</v>
      </c>
      <c r="E15" s="49">
        <v>2.8</v>
      </c>
      <c r="F15" s="49">
        <v>3.3000000000000002E-2</v>
      </c>
      <c r="G15" s="49">
        <v>7.0350000000000001</v>
      </c>
      <c r="H15" s="49">
        <v>0.73499999999999999</v>
      </c>
      <c r="I15" s="49">
        <v>6.3</v>
      </c>
      <c r="J15" s="49"/>
      <c r="K15" s="47"/>
    </row>
    <row r="16" spans="1:11" s="16" customFormat="1" ht="30.6" customHeight="1" x14ac:dyDescent="0.25">
      <c r="A16" s="46" t="s">
        <v>131</v>
      </c>
      <c r="B16" s="49">
        <v>7.1539999999999999</v>
      </c>
      <c r="C16" s="76"/>
      <c r="D16" s="49">
        <v>4.3259999999999996</v>
      </c>
      <c r="E16" s="49">
        <v>2.7949999999999999</v>
      </c>
      <c r="F16" s="49">
        <v>3.3000000000000002E-2</v>
      </c>
      <c r="G16" s="49">
        <v>5.4080000000000004</v>
      </c>
      <c r="H16" s="49">
        <v>0.33300000000000002</v>
      </c>
      <c r="I16" s="49">
        <v>5.0750000000000002</v>
      </c>
      <c r="J16" s="49"/>
      <c r="K16" s="47"/>
    </row>
    <row r="17" spans="4:10" x14ac:dyDescent="0.25">
      <c r="D17" s="39"/>
      <c r="E17" s="39"/>
      <c r="F17" s="39"/>
      <c r="G17" s="39"/>
      <c r="H17" s="39"/>
      <c r="I17" s="39"/>
      <c r="J17" s="39"/>
    </row>
  </sheetData>
  <mergeCells count="6">
    <mergeCell ref="A5:A6"/>
    <mergeCell ref="B5:F5"/>
    <mergeCell ref="G5:K5"/>
    <mergeCell ref="A12:A13"/>
    <mergeCell ref="B12:F12"/>
    <mergeCell ref="G12:K12"/>
  </mergeCells>
  <pageMargins left="0.98402777777777795" right="0.98402777777777795" top="0.74791666666666701" bottom="0.74791666666666701" header="0.51180555555555496" footer="0.51180555555555496"/>
  <pageSetup paperSize="9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XEM45"/>
  <sheetViews>
    <sheetView showZeros="0" tabSelected="1" topLeftCell="A3" zoomScale="124" zoomScaleNormal="124" zoomScaleSheetLayoutView="85" zoomScalePageLayoutView="85" workbookViewId="0">
      <pane xSplit="5" ySplit="6" topLeftCell="F12" activePane="bottomRight" state="frozen"/>
      <selection activeCell="A3" sqref="A3"/>
      <selection pane="topRight" activeCell="F3" sqref="F3"/>
      <selection pane="bottomLeft" activeCell="A9" sqref="A9"/>
      <selection pane="bottomRight" activeCell="R36" sqref="R36"/>
    </sheetView>
  </sheetViews>
  <sheetFormatPr defaultColWidth="8.85546875" defaultRowHeight="13.5" x14ac:dyDescent="0.25"/>
  <cols>
    <col min="2" max="2" width="31.140625" style="5" hidden="1" customWidth="1"/>
    <col min="3" max="3" width="31" style="5" hidden="1" customWidth="1"/>
    <col min="4" max="4" width="27.28515625" style="5" customWidth="1"/>
    <col min="5" max="5" width="5.28515625" style="5" hidden="1" customWidth="1"/>
    <col min="6" max="6" width="6.140625" style="5" customWidth="1"/>
    <col min="7" max="8" width="5.28515625" style="5" customWidth="1"/>
    <col min="9" max="9" width="6" style="5" customWidth="1"/>
    <col min="10" max="11" width="5.28515625" style="5" customWidth="1"/>
    <col min="12" max="12" width="5.42578125" style="5" customWidth="1"/>
    <col min="13" max="13" width="5.28515625" style="5" customWidth="1"/>
    <col min="14" max="14" width="7" style="5" customWidth="1"/>
    <col min="15" max="15" width="6.28515625" style="5" customWidth="1"/>
    <col min="16" max="16" width="5.28515625" style="5" customWidth="1"/>
    <col min="17" max="17" width="5.7109375" style="5" customWidth="1"/>
    <col min="18" max="25" width="5.28515625" style="5" customWidth="1"/>
    <col min="26" max="26" width="6.5703125" style="5" customWidth="1"/>
    <col min="27" max="27" width="5.28515625" style="5" customWidth="1"/>
    <col min="28" max="28" width="6.42578125" style="5" customWidth="1"/>
    <col min="29" max="999" width="8.85546875" style="5"/>
  </cols>
  <sheetData>
    <row r="2" spans="2:29 16367:16367" ht="49.15" customHeight="1" x14ac:dyDescent="0.25">
      <c r="B2" s="93" t="s">
        <v>133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</row>
    <row r="4" spans="2:29 16367:16367" x14ac:dyDescent="0.25">
      <c r="B4" s="5" t="s">
        <v>134</v>
      </c>
    </row>
    <row r="5" spans="2:29 16367:16367" ht="20.45" customHeight="1" x14ac:dyDescent="0.25">
      <c r="B5" s="90" t="s">
        <v>135</v>
      </c>
      <c r="C5" s="90" t="s">
        <v>99</v>
      </c>
      <c r="D5" s="90" t="s">
        <v>136</v>
      </c>
      <c r="E5" s="94" t="s">
        <v>137</v>
      </c>
      <c r="F5" s="94"/>
      <c r="G5" s="94"/>
      <c r="H5" s="94"/>
      <c r="I5" s="94"/>
      <c r="J5" s="94"/>
      <c r="K5" s="94"/>
      <c r="L5" s="94"/>
      <c r="M5" s="95" t="s">
        <v>138</v>
      </c>
      <c r="N5" s="95"/>
      <c r="O5" s="95"/>
      <c r="P5" s="95"/>
      <c r="Q5" s="95"/>
      <c r="R5" s="95"/>
      <c r="S5" s="95"/>
      <c r="T5" s="95"/>
      <c r="U5" s="95" t="s">
        <v>139</v>
      </c>
      <c r="V5" s="95"/>
      <c r="W5" s="95"/>
      <c r="X5" s="95"/>
      <c r="Y5" s="95"/>
      <c r="Z5" s="95"/>
      <c r="AA5" s="95"/>
      <c r="AB5" s="95"/>
    </row>
    <row r="6" spans="2:29 16367:16367" ht="20.45" customHeight="1" x14ac:dyDescent="0.25">
      <c r="B6" s="90"/>
      <c r="C6" s="90"/>
      <c r="D6" s="90"/>
      <c r="E6" s="94" t="s">
        <v>120</v>
      </c>
      <c r="F6" s="94"/>
      <c r="G6" s="94"/>
      <c r="H6" s="94"/>
      <c r="I6" s="94" t="s">
        <v>140</v>
      </c>
      <c r="J6" s="94"/>
      <c r="K6" s="94"/>
      <c r="L6" s="94"/>
      <c r="M6" s="94" t="s">
        <v>120</v>
      </c>
      <c r="N6" s="94"/>
      <c r="O6" s="94"/>
      <c r="P6" s="94"/>
      <c r="Q6" s="94" t="s">
        <v>140</v>
      </c>
      <c r="R6" s="94"/>
      <c r="S6" s="94"/>
      <c r="T6" s="94"/>
      <c r="U6" s="94" t="s">
        <v>120</v>
      </c>
      <c r="V6" s="94"/>
      <c r="W6" s="94"/>
      <c r="X6" s="94"/>
      <c r="Y6" s="94" t="s">
        <v>140</v>
      </c>
      <c r="Z6" s="94"/>
      <c r="AA6" s="94"/>
      <c r="AB6" s="94"/>
    </row>
    <row r="7" spans="2:29 16367:16367" ht="27" customHeight="1" x14ac:dyDescent="0.25">
      <c r="B7" s="90"/>
      <c r="C7" s="90"/>
      <c r="D7" s="90"/>
      <c r="E7" s="15" t="s">
        <v>123</v>
      </c>
      <c r="F7" s="15" t="s">
        <v>124</v>
      </c>
      <c r="G7" s="15" t="s">
        <v>125</v>
      </c>
      <c r="H7" s="15" t="s">
        <v>126</v>
      </c>
      <c r="I7" s="15" t="s">
        <v>127</v>
      </c>
      <c r="J7" s="15" t="s">
        <v>128</v>
      </c>
      <c r="K7" s="15" t="s">
        <v>129</v>
      </c>
      <c r="L7" s="15" t="s">
        <v>130</v>
      </c>
      <c r="M7" s="15" t="s">
        <v>123</v>
      </c>
      <c r="N7" s="15" t="s">
        <v>124</v>
      </c>
      <c r="O7" s="15" t="s">
        <v>125</v>
      </c>
      <c r="P7" s="15" t="s">
        <v>126</v>
      </c>
      <c r="Q7" s="15" t="s">
        <v>127</v>
      </c>
      <c r="R7" s="15" t="s">
        <v>128</v>
      </c>
      <c r="S7" s="15" t="s">
        <v>129</v>
      </c>
      <c r="T7" s="15" t="s">
        <v>130</v>
      </c>
      <c r="U7" s="15" t="s">
        <v>123</v>
      </c>
      <c r="V7" s="15" t="s">
        <v>124</v>
      </c>
      <c r="W7" s="15" t="s">
        <v>125</v>
      </c>
      <c r="X7" s="15" t="s">
        <v>126</v>
      </c>
      <c r="Y7" s="15" t="s">
        <v>127</v>
      </c>
      <c r="Z7" s="15" t="s">
        <v>128</v>
      </c>
      <c r="AA7" s="15" t="s">
        <v>129</v>
      </c>
      <c r="AB7" s="15" t="s">
        <v>184</v>
      </c>
      <c r="AC7" s="37"/>
    </row>
    <row r="8" spans="2:29 16367:16367" ht="12" customHeight="1" x14ac:dyDescent="0.25">
      <c r="B8" s="17">
        <v>1</v>
      </c>
      <c r="C8" s="17">
        <v>2</v>
      </c>
      <c r="D8" s="17">
        <v>3</v>
      </c>
      <c r="E8" s="17">
        <v>4</v>
      </c>
      <c r="F8" s="17">
        <v>5</v>
      </c>
      <c r="G8" s="17">
        <v>6</v>
      </c>
      <c r="H8" s="17">
        <v>7</v>
      </c>
      <c r="I8" s="17">
        <v>8</v>
      </c>
      <c r="J8" s="17">
        <v>9</v>
      </c>
      <c r="K8" s="17">
        <v>10</v>
      </c>
      <c r="L8" s="17">
        <v>11</v>
      </c>
      <c r="M8" s="17">
        <v>12</v>
      </c>
      <c r="N8" s="17">
        <v>13</v>
      </c>
      <c r="O8" s="17">
        <v>14</v>
      </c>
      <c r="P8" s="17">
        <v>15</v>
      </c>
      <c r="Q8" s="17">
        <v>16</v>
      </c>
      <c r="R8" s="17">
        <v>17</v>
      </c>
      <c r="S8" s="17">
        <v>18</v>
      </c>
      <c r="T8" s="17">
        <v>19</v>
      </c>
      <c r="U8" s="17">
        <v>20</v>
      </c>
      <c r="V8" s="17">
        <v>21</v>
      </c>
      <c r="W8" s="17">
        <v>22</v>
      </c>
      <c r="X8" s="17">
        <v>23</v>
      </c>
      <c r="Y8" s="17">
        <v>24</v>
      </c>
      <c r="Z8" s="17">
        <v>25</v>
      </c>
      <c r="AA8" s="17">
        <v>26</v>
      </c>
      <c r="AB8" s="17">
        <v>27</v>
      </c>
      <c r="XEM8">
        <f>SUM(A8:XEL8)</f>
        <v>378</v>
      </c>
    </row>
    <row r="9" spans="2:29 16367:16367" ht="13.15" customHeight="1" x14ac:dyDescent="0.25">
      <c r="B9" s="8" t="s">
        <v>182</v>
      </c>
      <c r="C9" s="8" t="s">
        <v>181</v>
      </c>
      <c r="D9" s="30" t="s">
        <v>159</v>
      </c>
      <c r="E9" s="26"/>
      <c r="F9" s="35">
        <v>0.38700000000000001</v>
      </c>
      <c r="G9" s="35">
        <v>0</v>
      </c>
      <c r="H9" s="35">
        <v>0</v>
      </c>
      <c r="I9" s="35">
        <v>1.1240000000000001</v>
      </c>
      <c r="J9" s="35">
        <v>0.93700000000000006</v>
      </c>
      <c r="K9" s="35">
        <v>0</v>
      </c>
      <c r="L9" s="35">
        <v>0</v>
      </c>
      <c r="M9" s="59"/>
      <c r="N9" s="60"/>
      <c r="O9" s="60"/>
      <c r="P9" s="60"/>
      <c r="Q9" s="60"/>
      <c r="R9" s="60"/>
      <c r="S9" s="60"/>
      <c r="T9" s="60"/>
      <c r="U9" s="35"/>
      <c r="V9" s="23">
        <v>3.9020000000000001</v>
      </c>
      <c r="W9" s="23">
        <v>6.4000000000000001E-2</v>
      </c>
      <c r="X9" s="23"/>
      <c r="Y9" s="23">
        <v>9.8109999999999999</v>
      </c>
      <c r="Z9" s="23">
        <v>8.9939999999999998</v>
      </c>
      <c r="AA9" s="23"/>
      <c r="AB9" s="23"/>
    </row>
    <row r="10" spans="2:29 16367:16367" ht="13.15" customHeight="1" x14ac:dyDescent="0.25">
      <c r="B10" s="29" t="s">
        <v>182</v>
      </c>
      <c r="C10" s="8" t="s">
        <v>181</v>
      </c>
      <c r="D10" s="30" t="s">
        <v>168</v>
      </c>
      <c r="E10" s="29"/>
      <c r="F10" s="35">
        <v>3.0000000000000002E-2</v>
      </c>
      <c r="G10" s="35">
        <v>2E-3</v>
      </c>
      <c r="H10" s="35">
        <v>0</v>
      </c>
      <c r="I10" s="35">
        <v>2E-3</v>
      </c>
      <c r="J10" s="35">
        <v>5.9000000000000004E-2</v>
      </c>
      <c r="K10" s="35">
        <v>0</v>
      </c>
      <c r="L10" s="35">
        <v>0</v>
      </c>
      <c r="M10" s="59"/>
      <c r="N10" s="59"/>
      <c r="O10" s="59"/>
      <c r="P10" s="59"/>
      <c r="Q10" s="59"/>
      <c r="R10" s="59"/>
      <c r="S10" s="59"/>
      <c r="T10" s="59"/>
      <c r="U10" s="23"/>
      <c r="V10" s="22">
        <v>0.05</v>
      </c>
      <c r="W10" s="22">
        <v>3.5999999999999997E-2</v>
      </c>
      <c r="X10" s="22"/>
      <c r="Y10" s="22">
        <v>8.5999999999999993E-2</v>
      </c>
      <c r="Z10" s="22">
        <v>8.0000000000000002E-3</v>
      </c>
      <c r="AA10" s="22"/>
      <c r="AB10" s="23"/>
    </row>
    <row r="11" spans="2:29 16367:16367" ht="13.15" customHeight="1" x14ac:dyDescent="0.25">
      <c r="B11" s="29" t="s">
        <v>182</v>
      </c>
      <c r="C11" s="8" t="s">
        <v>181</v>
      </c>
      <c r="D11" s="30" t="s">
        <v>160</v>
      </c>
      <c r="E11" s="29"/>
      <c r="F11" s="35">
        <v>0.59199999999999997</v>
      </c>
      <c r="G11" s="35">
        <v>0</v>
      </c>
      <c r="H11" s="35">
        <v>0</v>
      </c>
      <c r="I11" s="35">
        <v>1.6870000000000001</v>
      </c>
      <c r="J11" s="35">
        <v>1.1040000000000001</v>
      </c>
      <c r="K11" s="35">
        <v>0</v>
      </c>
      <c r="L11" s="35">
        <v>0</v>
      </c>
      <c r="M11" s="59"/>
      <c r="N11" s="59"/>
      <c r="O11" s="59"/>
      <c r="P11" s="59"/>
      <c r="Q11" s="59"/>
      <c r="R11" s="59"/>
      <c r="S11" s="59"/>
      <c r="T11" s="59"/>
      <c r="U11" s="23"/>
      <c r="V11" s="40">
        <v>1.319</v>
      </c>
      <c r="W11" s="23"/>
      <c r="X11" s="23"/>
      <c r="Y11" s="22">
        <v>4.4640000000000004</v>
      </c>
      <c r="Z11" s="23">
        <v>4.9889999999999999</v>
      </c>
      <c r="AA11" s="23"/>
      <c r="AB11" s="23"/>
    </row>
    <row r="12" spans="2:29 16367:16367" ht="13.15" customHeight="1" x14ac:dyDescent="0.25">
      <c r="B12" s="29" t="s">
        <v>182</v>
      </c>
      <c r="C12" s="8" t="s">
        <v>181</v>
      </c>
      <c r="D12" s="30" t="s">
        <v>168</v>
      </c>
      <c r="E12" s="29"/>
      <c r="F12" s="35">
        <v>1.4E-2</v>
      </c>
      <c r="G12" s="35">
        <v>0</v>
      </c>
      <c r="H12" s="35">
        <v>0</v>
      </c>
      <c r="I12" s="35">
        <v>4.7E-2</v>
      </c>
      <c r="J12" s="35">
        <v>2.7E-2</v>
      </c>
      <c r="K12" s="35">
        <v>0</v>
      </c>
      <c r="L12" s="35">
        <v>0</v>
      </c>
      <c r="M12" s="59"/>
      <c r="N12" s="59"/>
      <c r="O12" s="59"/>
      <c r="P12" s="59"/>
      <c r="Q12" s="59"/>
      <c r="R12" s="59"/>
      <c r="S12" s="59"/>
      <c r="T12" s="59"/>
      <c r="U12" s="23"/>
      <c r="V12" s="22">
        <v>2.7E-2</v>
      </c>
      <c r="W12" s="22"/>
      <c r="X12" s="22"/>
      <c r="Y12" s="22">
        <v>8.8999999999999996E-2</v>
      </c>
      <c r="Z12" s="22">
        <v>4.8000000000000001E-2</v>
      </c>
      <c r="AA12" s="22"/>
      <c r="AB12" s="23"/>
    </row>
    <row r="13" spans="2:29 16367:16367" ht="13.15" customHeight="1" x14ac:dyDescent="0.25">
      <c r="B13" s="29" t="s">
        <v>182</v>
      </c>
      <c r="C13" s="8" t="s">
        <v>181</v>
      </c>
      <c r="D13" s="30" t="s">
        <v>161</v>
      </c>
      <c r="E13" s="29"/>
      <c r="F13" s="31">
        <v>0.73799999999999999</v>
      </c>
      <c r="G13" s="31">
        <v>0</v>
      </c>
      <c r="H13" s="31">
        <v>0</v>
      </c>
      <c r="I13" s="31">
        <v>0.33800000000000002</v>
      </c>
      <c r="J13" s="31">
        <v>0.28899999999999998</v>
      </c>
      <c r="K13" s="35">
        <v>0</v>
      </c>
      <c r="L13" s="35">
        <v>0</v>
      </c>
      <c r="M13" s="59"/>
      <c r="N13" s="59"/>
      <c r="O13" s="59"/>
      <c r="P13" s="59"/>
      <c r="Q13" s="59"/>
      <c r="R13" s="59"/>
      <c r="S13" s="59"/>
      <c r="T13" s="59"/>
      <c r="U13" s="23"/>
      <c r="V13" s="22">
        <v>1.7070000000000001</v>
      </c>
      <c r="W13" s="23"/>
      <c r="X13" s="23"/>
      <c r="Y13" s="22">
        <v>4.5430000000000001</v>
      </c>
      <c r="Z13" s="23">
        <v>4.1360000000000001</v>
      </c>
      <c r="AA13" s="23"/>
      <c r="AB13" s="23"/>
    </row>
    <row r="14" spans="2:29 16367:16367" ht="13.15" customHeight="1" x14ac:dyDescent="0.25">
      <c r="B14" s="29" t="s">
        <v>182</v>
      </c>
      <c r="C14" s="8" t="s">
        <v>181</v>
      </c>
      <c r="D14" s="30" t="s">
        <v>158</v>
      </c>
      <c r="E14" s="29"/>
      <c r="F14" s="31">
        <v>0.13400000000000001</v>
      </c>
      <c r="G14" s="31">
        <v>0</v>
      </c>
      <c r="H14" s="31">
        <v>0</v>
      </c>
      <c r="I14" s="31">
        <v>7.4999999999999997E-2</v>
      </c>
      <c r="J14" s="31">
        <v>3.5999999999999997E-2</v>
      </c>
      <c r="K14" s="35">
        <v>0</v>
      </c>
      <c r="L14" s="35">
        <v>0</v>
      </c>
      <c r="M14" s="59"/>
      <c r="N14" s="59"/>
      <c r="O14" s="59"/>
      <c r="P14" s="59"/>
      <c r="Q14" s="59"/>
      <c r="R14" s="59"/>
      <c r="S14" s="59"/>
      <c r="T14" s="59"/>
      <c r="U14" s="23"/>
      <c r="V14" s="22">
        <v>0.251</v>
      </c>
      <c r="W14" s="22"/>
      <c r="X14" s="22"/>
      <c r="Y14" s="22">
        <v>0.115</v>
      </c>
      <c r="Z14" s="22">
        <v>4.7E-2</v>
      </c>
      <c r="AA14" s="22"/>
      <c r="AB14" s="23"/>
    </row>
    <row r="15" spans="2:29 16367:16367" ht="13.15" customHeight="1" x14ac:dyDescent="0.25">
      <c r="B15" s="29" t="s">
        <v>182</v>
      </c>
      <c r="C15" s="8" t="s">
        <v>181</v>
      </c>
      <c r="D15" s="30" t="s">
        <v>162</v>
      </c>
      <c r="E15" s="29"/>
      <c r="F15" s="35">
        <v>0.64700000000000002</v>
      </c>
      <c r="G15" s="35">
        <v>0</v>
      </c>
      <c r="H15" s="35">
        <v>0</v>
      </c>
      <c r="I15" s="35">
        <v>0.99399999999999999</v>
      </c>
      <c r="J15" s="35">
        <v>0.51</v>
      </c>
      <c r="K15" s="35">
        <v>0</v>
      </c>
      <c r="L15" s="35">
        <v>0</v>
      </c>
      <c r="M15" s="59"/>
      <c r="N15" s="59"/>
      <c r="O15" s="59"/>
      <c r="P15" s="59"/>
      <c r="Q15" s="59"/>
      <c r="R15" s="59"/>
      <c r="S15" s="59"/>
      <c r="T15" s="59"/>
      <c r="U15" s="23"/>
      <c r="V15" s="22">
        <v>1.288</v>
      </c>
      <c r="W15" s="23"/>
      <c r="X15" s="23"/>
      <c r="Y15" s="23">
        <v>6.8879999999999999</v>
      </c>
      <c r="Z15" s="23">
        <v>4.2590000000000003</v>
      </c>
      <c r="AA15" s="23"/>
      <c r="AB15" s="23"/>
    </row>
    <row r="16" spans="2:29 16367:16367" ht="13.5" customHeight="1" x14ac:dyDescent="0.25">
      <c r="B16" s="29" t="s">
        <v>182</v>
      </c>
      <c r="C16" s="8" t="s">
        <v>181</v>
      </c>
      <c r="D16" s="30" t="s">
        <v>158</v>
      </c>
      <c r="E16" s="29"/>
      <c r="F16" s="35">
        <v>3.4000000000000002E-2</v>
      </c>
      <c r="G16" s="35">
        <v>0</v>
      </c>
      <c r="H16" s="35">
        <v>0</v>
      </c>
      <c r="I16" s="35">
        <v>2.4E-2</v>
      </c>
      <c r="J16" s="32">
        <v>0.04</v>
      </c>
      <c r="K16" s="35">
        <v>0</v>
      </c>
      <c r="L16" s="35">
        <v>0</v>
      </c>
      <c r="M16" s="59"/>
      <c r="N16" s="59"/>
      <c r="O16" s="59"/>
      <c r="P16" s="59"/>
      <c r="Q16" s="59"/>
      <c r="R16" s="59"/>
      <c r="S16" s="59"/>
      <c r="T16" s="59"/>
      <c r="U16" s="23"/>
      <c r="V16" s="22">
        <v>6.0999999999999999E-2</v>
      </c>
      <c r="W16" s="22"/>
      <c r="X16" s="22"/>
      <c r="Y16" s="22">
        <v>4.8000000000000001E-2</v>
      </c>
      <c r="Z16" s="22">
        <v>4.7E-2</v>
      </c>
      <c r="AA16" s="22"/>
      <c r="AB16" s="23"/>
    </row>
    <row r="17" spans="2:999" x14ac:dyDescent="0.25">
      <c r="B17" s="29" t="s">
        <v>182</v>
      </c>
      <c r="C17" s="8" t="s">
        <v>181</v>
      </c>
      <c r="D17" s="30" t="s">
        <v>163</v>
      </c>
      <c r="E17" s="29"/>
      <c r="F17" s="44">
        <v>5.6580000000000004</v>
      </c>
      <c r="G17" s="42">
        <v>3.3239999999999998</v>
      </c>
      <c r="H17" s="42">
        <v>0</v>
      </c>
      <c r="I17" s="44">
        <v>8.15</v>
      </c>
      <c r="J17" s="44">
        <v>9.6110000000000007</v>
      </c>
      <c r="K17" s="44">
        <v>2.9870000000000001</v>
      </c>
      <c r="L17" s="43">
        <v>0</v>
      </c>
      <c r="M17" s="59"/>
      <c r="N17" s="59"/>
      <c r="O17" s="59"/>
      <c r="P17" s="59"/>
      <c r="Q17" s="59"/>
      <c r="R17" s="59"/>
      <c r="S17" s="59"/>
      <c r="T17" s="59"/>
      <c r="U17" s="23"/>
      <c r="V17" s="22">
        <v>16.699000000000002</v>
      </c>
      <c r="W17" s="22">
        <v>5.6150000000000002</v>
      </c>
      <c r="X17" s="22"/>
      <c r="Y17" s="22">
        <v>61.976999999999997</v>
      </c>
      <c r="Z17" s="50">
        <v>96.828999999999994</v>
      </c>
      <c r="AA17" s="22">
        <v>4.9489999999999998</v>
      </c>
      <c r="AB17" s="23"/>
    </row>
    <row r="18" spans="2:999" ht="13.5" customHeight="1" x14ac:dyDescent="0.25">
      <c r="B18" s="29" t="s">
        <v>182</v>
      </c>
      <c r="C18" s="8" t="s">
        <v>181</v>
      </c>
      <c r="D18" s="30" t="s">
        <v>194</v>
      </c>
      <c r="E18" s="29"/>
      <c r="F18" s="44">
        <v>0.70499999999999985</v>
      </c>
      <c r="G18" s="42">
        <v>0.22</v>
      </c>
      <c r="H18" s="42">
        <v>0</v>
      </c>
      <c r="I18" s="44">
        <v>0</v>
      </c>
      <c r="J18" s="44">
        <v>0.38600000000000001</v>
      </c>
      <c r="K18" s="44">
        <v>0</v>
      </c>
      <c r="L18" s="43">
        <v>0</v>
      </c>
      <c r="M18" s="59"/>
      <c r="N18" s="59"/>
      <c r="O18" s="59"/>
      <c r="P18" s="59"/>
      <c r="Q18" s="59"/>
      <c r="R18" s="59"/>
      <c r="S18" s="59"/>
      <c r="T18" s="59"/>
      <c r="U18" s="23"/>
      <c r="V18" s="22">
        <v>1.137</v>
      </c>
      <c r="W18" s="22">
        <v>0.28699999999999998</v>
      </c>
      <c r="X18" s="22"/>
      <c r="Y18" s="22">
        <v>0.52</v>
      </c>
      <c r="Z18" s="22">
        <v>0.20100000000000001</v>
      </c>
      <c r="AA18" s="22"/>
      <c r="AB18" s="23"/>
    </row>
    <row r="19" spans="2:999" s="67" customFormat="1" x14ac:dyDescent="0.25">
      <c r="B19" s="30" t="s">
        <v>182</v>
      </c>
      <c r="C19" s="30" t="s">
        <v>183</v>
      </c>
      <c r="D19" s="30" t="s">
        <v>165</v>
      </c>
      <c r="E19" s="41"/>
      <c r="F19" s="68">
        <v>0.38200000000000001</v>
      </c>
      <c r="G19" s="68">
        <v>0.252</v>
      </c>
      <c r="H19" s="68">
        <v>0</v>
      </c>
      <c r="I19" s="68">
        <v>1.7999999999999999E-2</v>
      </c>
      <c r="J19" s="68">
        <v>0.51200000000000001</v>
      </c>
      <c r="K19" s="68">
        <v>0</v>
      </c>
      <c r="L19" s="41">
        <v>0</v>
      </c>
      <c r="M19" s="63"/>
      <c r="N19" s="64">
        <v>4.91</v>
      </c>
      <c r="O19" s="64">
        <v>2.9209999999999998</v>
      </c>
      <c r="P19" s="64"/>
      <c r="Q19" s="64"/>
      <c r="R19" s="64">
        <v>0.68300000000000005</v>
      </c>
      <c r="S19" s="64"/>
      <c r="T19" s="75"/>
      <c r="U19" s="36"/>
      <c r="V19" s="65">
        <v>1.2869999999999999</v>
      </c>
      <c r="W19" s="36">
        <v>1.278</v>
      </c>
      <c r="X19" s="65"/>
      <c r="Y19" s="65">
        <v>1.472</v>
      </c>
      <c r="Z19" s="36">
        <v>4.2930000000000001</v>
      </c>
      <c r="AA19" s="65">
        <v>1.472</v>
      </c>
      <c r="AB19" s="3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  <c r="HF19" s="66"/>
      <c r="HG19" s="66"/>
      <c r="HH19" s="66"/>
      <c r="HI19" s="66"/>
      <c r="HJ19" s="66"/>
      <c r="HK19" s="66"/>
      <c r="HL19" s="66"/>
      <c r="HM19" s="66"/>
      <c r="HN19" s="66"/>
      <c r="HO19" s="66"/>
      <c r="HP19" s="66"/>
      <c r="HQ19" s="66"/>
      <c r="HR19" s="66"/>
      <c r="HS19" s="66"/>
      <c r="HT19" s="66"/>
      <c r="HU19" s="66"/>
      <c r="HV19" s="66"/>
      <c r="HW19" s="66"/>
      <c r="HX19" s="66"/>
      <c r="HY19" s="66"/>
      <c r="HZ19" s="66"/>
      <c r="IA19" s="66"/>
      <c r="IB19" s="66"/>
      <c r="IC19" s="66"/>
      <c r="ID19" s="66"/>
      <c r="IE19" s="66"/>
      <c r="IF19" s="66"/>
      <c r="IG19" s="66"/>
      <c r="IH19" s="66"/>
      <c r="II19" s="66"/>
      <c r="IJ19" s="66"/>
      <c r="IK19" s="66"/>
      <c r="IL19" s="66"/>
      <c r="IM19" s="66"/>
      <c r="IN19" s="66"/>
      <c r="IO19" s="66"/>
      <c r="IP19" s="66"/>
      <c r="IQ19" s="66"/>
      <c r="IR19" s="66"/>
      <c r="IS19" s="66"/>
      <c r="IT19" s="66"/>
      <c r="IU19" s="66"/>
      <c r="IV19" s="66"/>
      <c r="IW19" s="66"/>
      <c r="IX19" s="66"/>
      <c r="IY19" s="66"/>
      <c r="IZ19" s="66"/>
      <c r="JA19" s="66"/>
      <c r="JB19" s="66"/>
      <c r="JC19" s="66"/>
      <c r="JD19" s="66"/>
      <c r="JE19" s="66"/>
      <c r="JF19" s="66"/>
      <c r="JG19" s="66"/>
      <c r="JH19" s="66"/>
      <c r="JI19" s="66"/>
      <c r="JJ19" s="66"/>
      <c r="JK19" s="66"/>
      <c r="JL19" s="66"/>
      <c r="JM19" s="66"/>
      <c r="JN19" s="66"/>
      <c r="JO19" s="66"/>
      <c r="JP19" s="66"/>
      <c r="JQ19" s="66"/>
      <c r="JR19" s="66"/>
      <c r="JS19" s="66"/>
      <c r="JT19" s="66"/>
      <c r="JU19" s="66"/>
      <c r="JV19" s="66"/>
      <c r="JW19" s="66"/>
      <c r="JX19" s="66"/>
      <c r="JY19" s="66"/>
      <c r="JZ19" s="66"/>
      <c r="KA19" s="66"/>
      <c r="KB19" s="66"/>
      <c r="KC19" s="66"/>
      <c r="KD19" s="66"/>
      <c r="KE19" s="66"/>
      <c r="KF19" s="66"/>
      <c r="KG19" s="66"/>
      <c r="KH19" s="66"/>
      <c r="KI19" s="66"/>
      <c r="KJ19" s="66"/>
      <c r="KK19" s="66"/>
      <c r="KL19" s="66"/>
      <c r="KM19" s="66"/>
      <c r="KN19" s="66"/>
      <c r="KO19" s="66"/>
      <c r="KP19" s="66"/>
      <c r="KQ19" s="66"/>
      <c r="KR19" s="66"/>
      <c r="KS19" s="66"/>
      <c r="KT19" s="66"/>
      <c r="KU19" s="66"/>
      <c r="KV19" s="66"/>
      <c r="KW19" s="66"/>
      <c r="KX19" s="66"/>
      <c r="KY19" s="66"/>
      <c r="KZ19" s="66"/>
      <c r="LA19" s="66"/>
      <c r="LB19" s="66"/>
      <c r="LC19" s="66"/>
      <c r="LD19" s="66"/>
      <c r="LE19" s="66"/>
      <c r="LF19" s="66"/>
      <c r="LG19" s="66"/>
      <c r="LH19" s="66"/>
      <c r="LI19" s="66"/>
      <c r="LJ19" s="66"/>
      <c r="LK19" s="66"/>
      <c r="LL19" s="66"/>
      <c r="LM19" s="66"/>
      <c r="LN19" s="66"/>
      <c r="LO19" s="66"/>
      <c r="LP19" s="66"/>
      <c r="LQ19" s="66"/>
      <c r="LR19" s="66"/>
      <c r="LS19" s="66"/>
      <c r="LT19" s="66"/>
      <c r="LU19" s="66"/>
      <c r="LV19" s="66"/>
      <c r="LW19" s="66"/>
      <c r="LX19" s="66"/>
      <c r="LY19" s="66"/>
      <c r="LZ19" s="66"/>
      <c r="MA19" s="66"/>
      <c r="MB19" s="66"/>
      <c r="MC19" s="66"/>
      <c r="MD19" s="66"/>
      <c r="ME19" s="66"/>
      <c r="MF19" s="66"/>
      <c r="MG19" s="66"/>
      <c r="MH19" s="66"/>
      <c r="MI19" s="66"/>
      <c r="MJ19" s="66"/>
      <c r="MK19" s="66"/>
      <c r="ML19" s="66"/>
      <c r="MM19" s="66"/>
      <c r="MN19" s="66"/>
      <c r="MO19" s="66"/>
      <c r="MP19" s="66"/>
      <c r="MQ19" s="66"/>
      <c r="MR19" s="66"/>
      <c r="MS19" s="66"/>
      <c r="MT19" s="66"/>
      <c r="MU19" s="66"/>
      <c r="MV19" s="66"/>
      <c r="MW19" s="66"/>
      <c r="MX19" s="66"/>
      <c r="MY19" s="66"/>
      <c r="MZ19" s="66"/>
      <c r="NA19" s="66"/>
      <c r="NB19" s="66"/>
      <c r="NC19" s="66"/>
      <c r="ND19" s="66"/>
      <c r="NE19" s="66"/>
      <c r="NF19" s="66"/>
      <c r="NG19" s="66"/>
      <c r="NH19" s="66"/>
      <c r="NI19" s="66"/>
      <c r="NJ19" s="66"/>
      <c r="NK19" s="66"/>
      <c r="NL19" s="66"/>
      <c r="NM19" s="66"/>
      <c r="NN19" s="66"/>
      <c r="NO19" s="66"/>
      <c r="NP19" s="66"/>
      <c r="NQ19" s="66"/>
      <c r="NR19" s="66"/>
      <c r="NS19" s="66"/>
      <c r="NT19" s="66"/>
      <c r="NU19" s="66"/>
      <c r="NV19" s="66"/>
      <c r="NW19" s="66"/>
      <c r="NX19" s="66"/>
      <c r="NY19" s="66"/>
      <c r="NZ19" s="66"/>
      <c r="OA19" s="66"/>
      <c r="OB19" s="66"/>
      <c r="OC19" s="66"/>
      <c r="OD19" s="66"/>
      <c r="OE19" s="66"/>
      <c r="OF19" s="66"/>
      <c r="OG19" s="66"/>
      <c r="OH19" s="66"/>
      <c r="OI19" s="66"/>
      <c r="OJ19" s="66"/>
      <c r="OK19" s="66"/>
      <c r="OL19" s="66"/>
      <c r="OM19" s="66"/>
      <c r="ON19" s="66"/>
      <c r="OO19" s="66"/>
      <c r="OP19" s="66"/>
      <c r="OQ19" s="66"/>
      <c r="OR19" s="66"/>
      <c r="OS19" s="66"/>
      <c r="OT19" s="66"/>
      <c r="OU19" s="66"/>
      <c r="OV19" s="66"/>
      <c r="OW19" s="66"/>
      <c r="OX19" s="66"/>
      <c r="OY19" s="66"/>
      <c r="OZ19" s="66"/>
      <c r="PA19" s="66"/>
      <c r="PB19" s="66"/>
      <c r="PC19" s="66"/>
      <c r="PD19" s="66"/>
      <c r="PE19" s="66"/>
      <c r="PF19" s="66"/>
      <c r="PG19" s="66"/>
      <c r="PH19" s="66"/>
      <c r="PI19" s="66"/>
      <c r="PJ19" s="66"/>
      <c r="PK19" s="66"/>
      <c r="PL19" s="66"/>
      <c r="PM19" s="66"/>
      <c r="PN19" s="66"/>
      <c r="PO19" s="66"/>
      <c r="PP19" s="66"/>
      <c r="PQ19" s="66"/>
      <c r="PR19" s="66"/>
      <c r="PS19" s="66"/>
      <c r="PT19" s="66"/>
      <c r="PU19" s="66"/>
      <c r="PV19" s="66"/>
      <c r="PW19" s="66"/>
      <c r="PX19" s="66"/>
      <c r="PY19" s="66"/>
      <c r="PZ19" s="66"/>
      <c r="QA19" s="66"/>
      <c r="QB19" s="66"/>
      <c r="QC19" s="66"/>
      <c r="QD19" s="66"/>
      <c r="QE19" s="66"/>
      <c r="QF19" s="66"/>
      <c r="QG19" s="66"/>
      <c r="QH19" s="66"/>
      <c r="QI19" s="66"/>
      <c r="QJ19" s="66"/>
      <c r="QK19" s="66"/>
      <c r="QL19" s="66"/>
      <c r="QM19" s="66"/>
      <c r="QN19" s="66"/>
      <c r="QO19" s="66"/>
      <c r="QP19" s="66"/>
      <c r="QQ19" s="66"/>
      <c r="QR19" s="66"/>
      <c r="QS19" s="66"/>
      <c r="QT19" s="66"/>
      <c r="QU19" s="66"/>
      <c r="QV19" s="66"/>
      <c r="QW19" s="66"/>
      <c r="QX19" s="66"/>
      <c r="QY19" s="66"/>
      <c r="QZ19" s="66"/>
      <c r="RA19" s="66"/>
      <c r="RB19" s="66"/>
      <c r="RC19" s="66"/>
      <c r="RD19" s="66"/>
      <c r="RE19" s="66"/>
      <c r="RF19" s="66"/>
      <c r="RG19" s="66"/>
      <c r="RH19" s="66"/>
      <c r="RI19" s="66"/>
      <c r="RJ19" s="66"/>
      <c r="RK19" s="66"/>
      <c r="RL19" s="66"/>
      <c r="RM19" s="66"/>
      <c r="RN19" s="66"/>
      <c r="RO19" s="66"/>
      <c r="RP19" s="66"/>
      <c r="RQ19" s="66"/>
      <c r="RR19" s="66"/>
      <c r="RS19" s="66"/>
      <c r="RT19" s="66"/>
      <c r="RU19" s="66"/>
      <c r="RV19" s="66"/>
      <c r="RW19" s="66"/>
      <c r="RX19" s="66"/>
      <c r="RY19" s="66"/>
      <c r="RZ19" s="66"/>
      <c r="SA19" s="66"/>
      <c r="SB19" s="66"/>
      <c r="SC19" s="66"/>
      <c r="SD19" s="66"/>
      <c r="SE19" s="66"/>
      <c r="SF19" s="66"/>
      <c r="SG19" s="66"/>
      <c r="SH19" s="66"/>
      <c r="SI19" s="66"/>
      <c r="SJ19" s="66"/>
      <c r="SK19" s="66"/>
      <c r="SL19" s="66"/>
      <c r="SM19" s="66"/>
      <c r="SN19" s="66"/>
      <c r="SO19" s="66"/>
      <c r="SP19" s="66"/>
      <c r="SQ19" s="66"/>
      <c r="SR19" s="66"/>
      <c r="SS19" s="66"/>
      <c r="ST19" s="66"/>
      <c r="SU19" s="66"/>
      <c r="SV19" s="66"/>
      <c r="SW19" s="66"/>
      <c r="SX19" s="66"/>
      <c r="SY19" s="66"/>
      <c r="SZ19" s="66"/>
      <c r="TA19" s="66"/>
      <c r="TB19" s="66"/>
      <c r="TC19" s="66"/>
      <c r="TD19" s="66"/>
      <c r="TE19" s="66"/>
      <c r="TF19" s="66"/>
      <c r="TG19" s="66"/>
      <c r="TH19" s="66"/>
      <c r="TI19" s="66"/>
      <c r="TJ19" s="66"/>
      <c r="TK19" s="66"/>
      <c r="TL19" s="66"/>
      <c r="TM19" s="66"/>
      <c r="TN19" s="66"/>
      <c r="TO19" s="66"/>
      <c r="TP19" s="66"/>
      <c r="TQ19" s="66"/>
      <c r="TR19" s="66"/>
      <c r="TS19" s="66"/>
      <c r="TT19" s="66"/>
      <c r="TU19" s="66"/>
      <c r="TV19" s="66"/>
      <c r="TW19" s="66"/>
      <c r="TX19" s="66"/>
      <c r="TY19" s="66"/>
      <c r="TZ19" s="66"/>
      <c r="UA19" s="66"/>
      <c r="UB19" s="66"/>
      <c r="UC19" s="66"/>
      <c r="UD19" s="66"/>
      <c r="UE19" s="66"/>
      <c r="UF19" s="66"/>
      <c r="UG19" s="66"/>
      <c r="UH19" s="66"/>
      <c r="UI19" s="66"/>
      <c r="UJ19" s="66"/>
      <c r="UK19" s="66"/>
      <c r="UL19" s="66"/>
      <c r="UM19" s="66"/>
      <c r="UN19" s="66"/>
      <c r="UO19" s="66"/>
      <c r="UP19" s="66"/>
      <c r="UQ19" s="66"/>
      <c r="UR19" s="66"/>
      <c r="US19" s="66"/>
      <c r="UT19" s="66"/>
      <c r="UU19" s="66"/>
      <c r="UV19" s="66"/>
      <c r="UW19" s="66"/>
      <c r="UX19" s="66"/>
      <c r="UY19" s="66"/>
      <c r="UZ19" s="66"/>
      <c r="VA19" s="66"/>
      <c r="VB19" s="66"/>
      <c r="VC19" s="66"/>
      <c r="VD19" s="66"/>
      <c r="VE19" s="66"/>
      <c r="VF19" s="66"/>
      <c r="VG19" s="66"/>
      <c r="VH19" s="66"/>
      <c r="VI19" s="66"/>
      <c r="VJ19" s="66"/>
      <c r="VK19" s="66"/>
      <c r="VL19" s="66"/>
      <c r="VM19" s="66"/>
      <c r="VN19" s="66"/>
      <c r="VO19" s="66"/>
      <c r="VP19" s="66"/>
      <c r="VQ19" s="66"/>
      <c r="VR19" s="66"/>
      <c r="VS19" s="66"/>
      <c r="VT19" s="66"/>
      <c r="VU19" s="66"/>
      <c r="VV19" s="66"/>
      <c r="VW19" s="66"/>
      <c r="VX19" s="66"/>
      <c r="VY19" s="66"/>
      <c r="VZ19" s="66"/>
      <c r="WA19" s="66"/>
      <c r="WB19" s="66"/>
      <c r="WC19" s="66"/>
      <c r="WD19" s="66"/>
      <c r="WE19" s="66"/>
      <c r="WF19" s="66"/>
      <c r="WG19" s="66"/>
      <c r="WH19" s="66"/>
      <c r="WI19" s="66"/>
      <c r="WJ19" s="66"/>
      <c r="WK19" s="66"/>
      <c r="WL19" s="66"/>
      <c r="WM19" s="66"/>
      <c r="WN19" s="66"/>
      <c r="WO19" s="66"/>
      <c r="WP19" s="66"/>
      <c r="WQ19" s="66"/>
      <c r="WR19" s="66"/>
      <c r="WS19" s="66"/>
      <c r="WT19" s="66"/>
      <c r="WU19" s="66"/>
      <c r="WV19" s="66"/>
      <c r="WW19" s="66"/>
      <c r="WX19" s="66"/>
      <c r="WY19" s="66"/>
      <c r="WZ19" s="66"/>
      <c r="XA19" s="66"/>
      <c r="XB19" s="66"/>
      <c r="XC19" s="66"/>
      <c r="XD19" s="66"/>
      <c r="XE19" s="66"/>
      <c r="XF19" s="66"/>
      <c r="XG19" s="66"/>
      <c r="XH19" s="66"/>
      <c r="XI19" s="66"/>
      <c r="XJ19" s="66"/>
      <c r="XK19" s="66"/>
      <c r="XL19" s="66"/>
      <c r="XM19" s="66"/>
      <c r="XN19" s="66"/>
      <c r="XO19" s="66"/>
      <c r="XP19" s="66"/>
      <c r="XQ19" s="66"/>
      <c r="XR19" s="66"/>
      <c r="XS19" s="66"/>
      <c r="XT19" s="66"/>
      <c r="XU19" s="66"/>
      <c r="XV19" s="66"/>
      <c r="XW19" s="66"/>
      <c r="XX19" s="66"/>
      <c r="XY19" s="66"/>
      <c r="XZ19" s="66"/>
      <c r="YA19" s="66"/>
      <c r="YB19" s="66"/>
      <c r="YC19" s="66"/>
      <c r="YD19" s="66"/>
      <c r="YE19" s="66"/>
      <c r="YF19" s="66"/>
      <c r="YG19" s="66"/>
      <c r="YH19" s="66"/>
      <c r="YI19" s="66"/>
      <c r="YJ19" s="66"/>
      <c r="YK19" s="66"/>
      <c r="YL19" s="66"/>
      <c r="YM19" s="66"/>
      <c r="YN19" s="66"/>
      <c r="YO19" s="66"/>
      <c r="YP19" s="66"/>
      <c r="YQ19" s="66"/>
      <c r="YR19" s="66"/>
      <c r="YS19" s="66"/>
      <c r="YT19" s="66"/>
      <c r="YU19" s="66"/>
      <c r="YV19" s="66"/>
      <c r="YW19" s="66"/>
      <c r="YX19" s="66"/>
      <c r="YY19" s="66"/>
      <c r="YZ19" s="66"/>
      <c r="ZA19" s="66"/>
      <c r="ZB19" s="66"/>
      <c r="ZC19" s="66"/>
      <c r="ZD19" s="66"/>
      <c r="ZE19" s="66"/>
      <c r="ZF19" s="66"/>
      <c r="ZG19" s="66"/>
      <c r="ZH19" s="66"/>
      <c r="ZI19" s="66"/>
      <c r="ZJ19" s="66"/>
      <c r="ZK19" s="66"/>
      <c r="ZL19" s="66"/>
      <c r="ZM19" s="66"/>
      <c r="ZN19" s="66"/>
      <c r="ZO19" s="66"/>
      <c r="ZP19" s="66"/>
      <c r="ZQ19" s="66"/>
      <c r="ZR19" s="66"/>
      <c r="ZS19" s="66"/>
      <c r="ZT19" s="66"/>
      <c r="ZU19" s="66"/>
      <c r="ZV19" s="66"/>
      <c r="ZW19" s="66"/>
      <c r="ZX19" s="66"/>
      <c r="ZY19" s="66"/>
      <c r="ZZ19" s="66"/>
      <c r="AAA19" s="66"/>
      <c r="AAB19" s="66"/>
      <c r="AAC19" s="66"/>
      <c r="AAD19" s="66"/>
      <c r="AAE19" s="66"/>
      <c r="AAF19" s="66"/>
      <c r="AAG19" s="66"/>
      <c r="AAH19" s="66"/>
      <c r="AAI19" s="66"/>
      <c r="AAJ19" s="66"/>
      <c r="AAK19" s="66"/>
      <c r="AAL19" s="66"/>
      <c r="AAM19" s="66"/>
      <c r="AAN19" s="66"/>
      <c r="AAO19" s="66"/>
      <c r="AAP19" s="66"/>
      <c r="AAQ19" s="66"/>
      <c r="AAR19" s="66"/>
      <c r="AAS19" s="66"/>
      <c r="AAT19" s="66"/>
      <c r="AAU19" s="66"/>
      <c r="AAV19" s="66"/>
      <c r="AAW19" s="66"/>
      <c r="AAX19" s="66"/>
      <c r="AAY19" s="66"/>
      <c r="AAZ19" s="66"/>
      <c r="ABA19" s="66"/>
      <c r="ABB19" s="66"/>
      <c r="ABC19" s="66"/>
      <c r="ABD19" s="66"/>
      <c r="ABE19" s="66"/>
      <c r="ABF19" s="66"/>
      <c r="ABG19" s="66"/>
      <c r="ABH19" s="66"/>
      <c r="ABI19" s="66"/>
      <c r="ABJ19" s="66"/>
      <c r="ABK19" s="66"/>
      <c r="ABL19" s="66"/>
      <c r="ABM19" s="66"/>
      <c r="ABN19" s="66"/>
      <c r="ABO19" s="66"/>
      <c r="ABP19" s="66"/>
      <c r="ABQ19" s="66"/>
      <c r="ABR19" s="66"/>
      <c r="ABS19" s="66"/>
      <c r="ABT19" s="66"/>
      <c r="ABU19" s="66"/>
      <c r="ABV19" s="66"/>
      <c r="ABW19" s="66"/>
      <c r="ABX19" s="66"/>
      <c r="ABY19" s="66"/>
      <c r="ABZ19" s="66"/>
      <c r="ACA19" s="66"/>
      <c r="ACB19" s="66"/>
      <c r="ACC19" s="66"/>
      <c r="ACD19" s="66"/>
      <c r="ACE19" s="66"/>
      <c r="ACF19" s="66"/>
      <c r="ACG19" s="66"/>
      <c r="ACH19" s="66"/>
      <c r="ACI19" s="66"/>
      <c r="ACJ19" s="66"/>
      <c r="ACK19" s="66"/>
      <c r="ACL19" s="66"/>
      <c r="ACM19" s="66"/>
      <c r="ACN19" s="66"/>
      <c r="ACO19" s="66"/>
      <c r="ACP19" s="66"/>
      <c r="ACQ19" s="66"/>
      <c r="ACR19" s="66"/>
      <c r="ACS19" s="66"/>
      <c r="ACT19" s="66"/>
      <c r="ACU19" s="66"/>
      <c r="ACV19" s="66"/>
      <c r="ACW19" s="66"/>
      <c r="ACX19" s="66"/>
      <c r="ACY19" s="66"/>
      <c r="ACZ19" s="66"/>
      <c r="ADA19" s="66"/>
      <c r="ADB19" s="66"/>
      <c r="ADC19" s="66"/>
      <c r="ADD19" s="66"/>
      <c r="ADE19" s="66"/>
      <c r="ADF19" s="66"/>
      <c r="ADG19" s="66"/>
      <c r="ADH19" s="66"/>
      <c r="ADI19" s="66"/>
      <c r="ADJ19" s="66"/>
      <c r="ADK19" s="66"/>
      <c r="ADL19" s="66"/>
      <c r="ADM19" s="66"/>
      <c r="ADN19" s="66"/>
      <c r="ADO19" s="66"/>
      <c r="ADP19" s="66"/>
      <c r="ADQ19" s="66"/>
      <c r="ADR19" s="66"/>
      <c r="ADS19" s="66"/>
      <c r="ADT19" s="66"/>
      <c r="ADU19" s="66"/>
      <c r="ADV19" s="66"/>
      <c r="ADW19" s="66"/>
      <c r="ADX19" s="66"/>
      <c r="ADY19" s="66"/>
      <c r="ADZ19" s="66"/>
      <c r="AEA19" s="66"/>
      <c r="AEB19" s="66"/>
      <c r="AEC19" s="66"/>
      <c r="AED19" s="66"/>
      <c r="AEE19" s="66"/>
      <c r="AEF19" s="66"/>
      <c r="AEG19" s="66"/>
      <c r="AEH19" s="66"/>
      <c r="AEI19" s="66"/>
      <c r="AEJ19" s="66"/>
      <c r="AEK19" s="66"/>
      <c r="AEL19" s="66"/>
      <c r="AEM19" s="66"/>
      <c r="AEN19" s="66"/>
      <c r="AEO19" s="66"/>
      <c r="AEP19" s="66"/>
      <c r="AEQ19" s="66"/>
      <c r="AER19" s="66"/>
      <c r="AES19" s="66"/>
      <c r="AET19" s="66"/>
      <c r="AEU19" s="66"/>
      <c r="AEV19" s="66"/>
      <c r="AEW19" s="66"/>
      <c r="AEX19" s="66"/>
      <c r="AEY19" s="66"/>
      <c r="AEZ19" s="66"/>
      <c r="AFA19" s="66"/>
      <c r="AFB19" s="66"/>
      <c r="AFC19" s="66"/>
      <c r="AFD19" s="66"/>
      <c r="AFE19" s="66"/>
      <c r="AFF19" s="66"/>
      <c r="AFG19" s="66"/>
      <c r="AFH19" s="66"/>
      <c r="AFI19" s="66"/>
      <c r="AFJ19" s="66"/>
      <c r="AFK19" s="66"/>
      <c r="AFL19" s="66"/>
      <c r="AFM19" s="66"/>
      <c r="AFN19" s="66"/>
      <c r="AFO19" s="66"/>
      <c r="AFP19" s="66"/>
      <c r="AFQ19" s="66"/>
      <c r="AFR19" s="66"/>
      <c r="AFS19" s="66"/>
      <c r="AFT19" s="66"/>
      <c r="AFU19" s="66"/>
      <c r="AFV19" s="66"/>
      <c r="AFW19" s="66"/>
      <c r="AFX19" s="66"/>
      <c r="AFY19" s="66"/>
      <c r="AFZ19" s="66"/>
      <c r="AGA19" s="66"/>
      <c r="AGB19" s="66"/>
      <c r="AGC19" s="66"/>
      <c r="AGD19" s="66"/>
      <c r="AGE19" s="66"/>
      <c r="AGF19" s="66"/>
      <c r="AGG19" s="66"/>
      <c r="AGH19" s="66"/>
      <c r="AGI19" s="66"/>
      <c r="AGJ19" s="66"/>
      <c r="AGK19" s="66"/>
      <c r="AGL19" s="66"/>
      <c r="AGM19" s="66"/>
      <c r="AGN19" s="66"/>
      <c r="AGO19" s="66"/>
      <c r="AGP19" s="66"/>
      <c r="AGQ19" s="66"/>
      <c r="AGR19" s="66"/>
      <c r="AGS19" s="66"/>
      <c r="AGT19" s="66"/>
      <c r="AGU19" s="66"/>
      <c r="AGV19" s="66"/>
      <c r="AGW19" s="66"/>
      <c r="AGX19" s="66"/>
      <c r="AGY19" s="66"/>
      <c r="AGZ19" s="66"/>
      <c r="AHA19" s="66"/>
      <c r="AHB19" s="66"/>
      <c r="AHC19" s="66"/>
      <c r="AHD19" s="66"/>
      <c r="AHE19" s="66"/>
      <c r="AHF19" s="66"/>
      <c r="AHG19" s="66"/>
      <c r="AHH19" s="66"/>
      <c r="AHI19" s="66"/>
      <c r="AHJ19" s="66"/>
      <c r="AHK19" s="66"/>
      <c r="AHL19" s="66"/>
      <c r="AHM19" s="66"/>
      <c r="AHN19" s="66"/>
      <c r="AHO19" s="66"/>
      <c r="AHP19" s="66"/>
      <c r="AHQ19" s="66"/>
      <c r="AHR19" s="66"/>
      <c r="AHS19" s="66"/>
      <c r="AHT19" s="66"/>
      <c r="AHU19" s="66"/>
      <c r="AHV19" s="66"/>
      <c r="AHW19" s="66"/>
      <c r="AHX19" s="66"/>
      <c r="AHY19" s="66"/>
      <c r="AHZ19" s="66"/>
      <c r="AIA19" s="66"/>
      <c r="AIB19" s="66"/>
      <c r="AIC19" s="66"/>
      <c r="AID19" s="66"/>
      <c r="AIE19" s="66"/>
      <c r="AIF19" s="66"/>
      <c r="AIG19" s="66"/>
      <c r="AIH19" s="66"/>
      <c r="AII19" s="66"/>
      <c r="AIJ19" s="66"/>
      <c r="AIK19" s="66"/>
      <c r="AIL19" s="66"/>
      <c r="AIM19" s="66"/>
      <c r="AIN19" s="66"/>
      <c r="AIO19" s="66"/>
      <c r="AIP19" s="66"/>
      <c r="AIQ19" s="66"/>
      <c r="AIR19" s="66"/>
      <c r="AIS19" s="66"/>
      <c r="AIT19" s="66"/>
      <c r="AIU19" s="66"/>
      <c r="AIV19" s="66"/>
      <c r="AIW19" s="66"/>
      <c r="AIX19" s="66"/>
      <c r="AIY19" s="66"/>
      <c r="AIZ19" s="66"/>
      <c r="AJA19" s="66"/>
      <c r="AJB19" s="66"/>
      <c r="AJC19" s="66"/>
      <c r="AJD19" s="66"/>
      <c r="AJE19" s="66"/>
      <c r="AJF19" s="66"/>
      <c r="AJG19" s="66"/>
      <c r="AJH19" s="66"/>
      <c r="AJI19" s="66"/>
      <c r="AJJ19" s="66"/>
      <c r="AJK19" s="66"/>
      <c r="AJL19" s="66"/>
      <c r="AJM19" s="66"/>
      <c r="AJN19" s="66"/>
      <c r="AJO19" s="66"/>
      <c r="AJP19" s="66"/>
      <c r="AJQ19" s="66"/>
      <c r="AJR19" s="66"/>
      <c r="AJS19" s="66"/>
      <c r="AJT19" s="66"/>
      <c r="AJU19" s="66"/>
      <c r="AJV19" s="66"/>
      <c r="AJW19" s="66"/>
      <c r="AJX19" s="66"/>
      <c r="AJY19" s="66"/>
      <c r="AJZ19" s="66"/>
      <c r="AKA19" s="66"/>
      <c r="AKB19" s="66"/>
      <c r="AKC19" s="66"/>
      <c r="AKD19" s="66"/>
      <c r="AKE19" s="66"/>
      <c r="AKF19" s="66"/>
      <c r="AKG19" s="66"/>
      <c r="AKH19" s="66"/>
      <c r="AKI19" s="66"/>
      <c r="AKJ19" s="66"/>
      <c r="AKK19" s="66"/>
      <c r="AKL19" s="66"/>
      <c r="AKM19" s="66"/>
      <c r="AKN19" s="66"/>
      <c r="AKO19" s="66"/>
      <c r="AKP19" s="66"/>
      <c r="AKQ19" s="66"/>
      <c r="AKR19" s="66"/>
      <c r="AKS19" s="66"/>
      <c r="AKT19" s="66"/>
      <c r="AKU19" s="66"/>
      <c r="AKV19" s="66"/>
      <c r="AKW19" s="66"/>
      <c r="AKX19" s="66"/>
      <c r="AKY19" s="66"/>
      <c r="AKZ19" s="66"/>
      <c r="ALA19" s="66"/>
      <c r="ALB19" s="66"/>
      <c r="ALC19" s="66"/>
      <c r="ALD19" s="66"/>
      <c r="ALE19" s="66"/>
      <c r="ALF19" s="66"/>
      <c r="ALG19" s="66"/>
      <c r="ALH19" s="66"/>
      <c r="ALI19" s="66"/>
      <c r="ALJ19" s="66"/>
      <c r="ALK19" s="66"/>
    </row>
    <row r="20" spans="2:999" s="67" customFormat="1" ht="13.5" customHeight="1" x14ac:dyDescent="0.25">
      <c r="B20" s="30" t="s">
        <v>182</v>
      </c>
      <c r="C20" s="30" t="s">
        <v>181</v>
      </c>
      <c r="D20" s="30" t="s">
        <v>202</v>
      </c>
      <c r="E20" s="41"/>
      <c r="F20" s="68">
        <v>0.14200000000000002</v>
      </c>
      <c r="G20" s="68">
        <v>0.10100000000000001</v>
      </c>
      <c r="H20" s="68">
        <v>0.01</v>
      </c>
      <c r="I20" s="68">
        <v>5.0000000000000001E-3</v>
      </c>
      <c r="J20" s="68">
        <v>0.11499999999999999</v>
      </c>
      <c r="K20" s="68">
        <v>2E-3</v>
      </c>
      <c r="L20" s="41">
        <v>0</v>
      </c>
      <c r="M20" s="63"/>
      <c r="N20" s="64"/>
      <c r="O20" s="64"/>
      <c r="P20" s="64"/>
      <c r="Q20" s="64"/>
      <c r="R20" s="64"/>
      <c r="S20" s="75"/>
      <c r="T20" s="75"/>
      <c r="U20" s="36"/>
      <c r="V20" s="65">
        <v>0.28199999999999997</v>
      </c>
      <c r="W20" s="65">
        <v>0.20100000000000001</v>
      </c>
      <c r="X20" s="65">
        <v>3.5000000000000003E-2</v>
      </c>
      <c r="Y20" s="65">
        <v>0.253</v>
      </c>
      <c r="Z20" s="65">
        <v>8.6999999999999994E-2</v>
      </c>
      <c r="AA20" s="65">
        <v>9.4E-2</v>
      </c>
      <c r="AB20" s="3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  <c r="HF20" s="66"/>
      <c r="HG20" s="66"/>
      <c r="HH20" s="66"/>
      <c r="HI20" s="66"/>
      <c r="HJ20" s="66"/>
      <c r="HK20" s="66"/>
      <c r="HL20" s="66"/>
      <c r="HM20" s="66"/>
      <c r="HN20" s="66"/>
      <c r="HO20" s="66"/>
      <c r="HP20" s="66"/>
      <c r="HQ20" s="66"/>
      <c r="HR20" s="66"/>
      <c r="HS20" s="66"/>
      <c r="HT20" s="66"/>
      <c r="HU20" s="66"/>
      <c r="HV20" s="66"/>
      <c r="HW20" s="66"/>
      <c r="HX20" s="66"/>
      <c r="HY20" s="66"/>
      <c r="HZ20" s="66"/>
      <c r="IA20" s="66"/>
      <c r="IB20" s="66"/>
      <c r="IC20" s="66"/>
      <c r="ID20" s="66"/>
      <c r="IE20" s="66"/>
      <c r="IF20" s="66"/>
      <c r="IG20" s="66"/>
      <c r="IH20" s="66"/>
      <c r="II20" s="66"/>
      <c r="IJ20" s="66"/>
      <c r="IK20" s="66"/>
      <c r="IL20" s="66"/>
      <c r="IM20" s="66"/>
      <c r="IN20" s="66"/>
      <c r="IO20" s="66"/>
      <c r="IP20" s="66"/>
      <c r="IQ20" s="66"/>
      <c r="IR20" s="66"/>
      <c r="IS20" s="66"/>
      <c r="IT20" s="66"/>
      <c r="IU20" s="66"/>
      <c r="IV20" s="66"/>
      <c r="IW20" s="66"/>
      <c r="IX20" s="66"/>
      <c r="IY20" s="66"/>
      <c r="IZ20" s="66"/>
      <c r="JA20" s="66"/>
      <c r="JB20" s="66"/>
      <c r="JC20" s="66"/>
      <c r="JD20" s="66"/>
      <c r="JE20" s="66"/>
      <c r="JF20" s="66"/>
      <c r="JG20" s="66"/>
      <c r="JH20" s="66"/>
      <c r="JI20" s="66"/>
      <c r="JJ20" s="66"/>
      <c r="JK20" s="66"/>
      <c r="JL20" s="66"/>
      <c r="JM20" s="66"/>
      <c r="JN20" s="66"/>
      <c r="JO20" s="66"/>
      <c r="JP20" s="66"/>
      <c r="JQ20" s="66"/>
      <c r="JR20" s="66"/>
      <c r="JS20" s="66"/>
      <c r="JT20" s="66"/>
      <c r="JU20" s="66"/>
      <c r="JV20" s="66"/>
      <c r="JW20" s="66"/>
      <c r="JX20" s="66"/>
      <c r="JY20" s="66"/>
      <c r="JZ20" s="66"/>
      <c r="KA20" s="66"/>
      <c r="KB20" s="66"/>
      <c r="KC20" s="66"/>
      <c r="KD20" s="66"/>
      <c r="KE20" s="66"/>
      <c r="KF20" s="66"/>
      <c r="KG20" s="66"/>
      <c r="KH20" s="66"/>
      <c r="KI20" s="66"/>
      <c r="KJ20" s="66"/>
      <c r="KK20" s="66"/>
      <c r="KL20" s="66"/>
      <c r="KM20" s="66"/>
      <c r="KN20" s="66"/>
      <c r="KO20" s="66"/>
      <c r="KP20" s="66"/>
      <c r="KQ20" s="66"/>
      <c r="KR20" s="66"/>
      <c r="KS20" s="66"/>
      <c r="KT20" s="66"/>
      <c r="KU20" s="66"/>
      <c r="KV20" s="66"/>
      <c r="KW20" s="66"/>
      <c r="KX20" s="66"/>
      <c r="KY20" s="66"/>
      <c r="KZ20" s="66"/>
      <c r="LA20" s="66"/>
      <c r="LB20" s="66"/>
      <c r="LC20" s="66"/>
      <c r="LD20" s="66"/>
      <c r="LE20" s="66"/>
      <c r="LF20" s="66"/>
      <c r="LG20" s="66"/>
      <c r="LH20" s="66"/>
      <c r="LI20" s="66"/>
      <c r="LJ20" s="66"/>
      <c r="LK20" s="66"/>
      <c r="LL20" s="66"/>
      <c r="LM20" s="66"/>
      <c r="LN20" s="66"/>
      <c r="LO20" s="66"/>
      <c r="LP20" s="66"/>
      <c r="LQ20" s="66"/>
      <c r="LR20" s="66"/>
      <c r="LS20" s="66"/>
      <c r="LT20" s="66"/>
      <c r="LU20" s="66"/>
      <c r="LV20" s="66"/>
      <c r="LW20" s="66"/>
      <c r="LX20" s="66"/>
      <c r="LY20" s="66"/>
      <c r="LZ20" s="66"/>
      <c r="MA20" s="66"/>
      <c r="MB20" s="66"/>
      <c r="MC20" s="66"/>
      <c r="MD20" s="66"/>
      <c r="ME20" s="66"/>
      <c r="MF20" s="66"/>
      <c r="MG20" s="66"/>
      <c r="MH20" s="66"/>
      <c r="MI20" s="66"/>
      <c r="MJ20" s="66"/>
      <c r="MK20" s="66"/>
      <c r="ML20" s="66"/>
      <c r="MM20" s="66"/>
      <c r="MN20" s="66"/>
      <c r="MO20" s="66"/>
      <c r="MP20" s="66"/>
      <c r="MQ20" s="66"/>
      <c r="MR20" s="66"/>
      <c r="MS20" s="66"/>
      <c r="MT20" s="66"/>
      <c r="MU20" s="66"/>
      <c r="MV20" s="66"/>
      <c r="MW20" s="66"/>
      <c r="MX20" s="66"/>
      <c r="MY20" s="66"/>
      <c r="MZ20" s="66"/>
      <c r="NA20" s="66"/>
      <c r="NB20" s="66"/>
      <c r="NC20" s="66"/>
      <c r="ND20" s="66"/>
      <c r="NE20" s="66"/>
      <c r="NF20" s="66"/>
      <c r="NG20" s="66"/>
      <c r="NH20" s="66"/>
      <c r="NI20" s="66"/>
      <c r="NJ20" s="66"/>
      <c r="NK20" s="66"/>
      <c r="NL20" s="66"/>
      <c r="NM20" s="66"/>
      <c r="NN20" s="66"/>
      <c r="NO20" s="66"/>
      <c r="NP20" s="66"/>
      <c r="NQ20" s="66"/>
      <c r="NR20" s="66"/>
      <c r="NS20" s="66"/>
      <c r="NT20" s="66"/>
      <c r="NU20" s="66"/>
      <c r="NV20" s="66"/>
      <c r="NW20" s="66"/>
      <c r="NX20" s="66"/>
      <c r="NY20" s="66"/>
      <c r="NZ20" s="66"/>
      <c r="OA20" s="66"/>
      <c r="OB20" s="66"/>
      <c r="OC20" s="66"/>
      <c r="OD20" s="66"/>
      <c r="OE20" s="66"/>
      <c r="OF20" s="66"/>
      <c r="OG20" s="66"/>
      <c r="OH20" s="66"/>
      <c r="OI20" s="66"/>
      <c r="OJ20" s="66"/>
      <c r="OK20" s="66"/>
      <c r="OL20" s="66"/>
      <c r="OM20" s="66"/>
      <c r="ON20" s="66"/>
      <c r="OO20" s="66"/>
      <c r="OP20" s="66"/>
      <c r="OQ20" s="66"/>
      <c r="OR20" s="66"/>
      <c r="OS20" s="66"/>
      <c r="OT20" s="66"/>
      <c r="OU20" s="66"/>
      <c r="OV20" s="66"/>
      <c r="OW20" s="66"/>
      <c r="OX20" s="66"/>
      <c r="OY20" s="66"/>
      <c r="OZ20" s="66"/>
      <c r="PA20" s="66"/>
      <c r="PB20" s="66"/>
      <c r="PC20" s="66"/>
      <c r="PD20" s="66"/>
      <c r="PE20" s="66"/>
      <c r="PF20" s="66"/>
      <c r="PG20" s="66"/>
      <c r="PH20" s="66"/>
      <c r="PI20" s="66"/>
      <c r="PJ20" s="66"/>
      <c r="PK20" s="66"/>
      <c r="PL20" s="66"/>
      <c r="PM20" s="66"/>
      <c r="PN20" s="66"/>
      <c r="PO20" s="66"/>
      <c r="PP20" s="66"/>
      <c r="PQ20" s="66"/>
      <c r="PR20" s="66"/>
      <c r="PS20" s="66"/>
      <c r="PT20" s="66"/>
      <c r="PU20" s="66"/>
      <c r="PV20" s="66"/>
      <c r="PW20" s="66"/>
      <c r="PX20" s="66"/>
      <c r="PY20" s="66"/>
      <c r="PZ20" s="66"/>
      <c r="QA20" s="66"/>
      <c r="QB20" s="66"/>
      <c r="QC20" s="66"/>
      <c r="QD20" s="66"/>
      <c r="QE20" s="66"/>
      <c r="QF20" s="66"/>
      <c r="QG20" s="66"/>
      <c r="QH20" s="66"/>
      <c r="QI20" s="66"/>
      <c r="QJ20" s="66"/>
      <c r="QK20" s="66"/>
      <c r="QL20" s="66"/>
      <c r="QM20" s="66"/>
      <c r="QN20" s="66"/>
      <c r="QO20" s="66"/>
      <c r="QP20" s="66"/>
      <c r="QQ20" s="66"/>
      <c r="QR20" s="66"/>
      <c r="QS20" s="66"/>
      <c r="QT20" s="66"/>
      <c r="QU20" s="66"/>
      <c r="QV20" s="66"/>
      <c r="QW20" s="66"/>
      <c r="QX20" s="66"/>
      <c r="QY20" s="66"/>
      <c r="QZ20" s="66"/>
      <c r="RA20" s="66"/>
      <c r="RB20" s="66"/>
      <c r="RC20" s="66"/>
      <c r="RD20" s="66"/>
      <c r="RE20" s="66"/>
      <c r="RF20" s="66"/>
      <c r="RG20" s="66"/>
      <c r="RH20" s="66"/>
      <c r="RI20" s="66"/>
      <c r="RJ20" s="66"/>
      <c r="RK20" s="66"/>
      <c r="RL20" s="66"/>
      <c r="RM20" s="66"/>
      <c r="RN20" s="66"/>
      <c r="RO20" s="66"/>
      <c r="RP20" s="66"/>
      <c r="RQ20" s="66"/>
      <c r="RR20" s="66"/>
      <c r="RS20" s="66"/>
      <c r="RT20" s="66"/>
      <c r="RU20" s="66"/>
      <c r="RV20" s="66"/>
      <c r="RW20" s="66"/>
      <c r="RX20" s="66"/>
      <c r="RY20" s="66"/>
      <c r="RZ20" s="66"/>
      <c r="SA20" s="66"/>
      <c r="SB20" s="66"/>
      <c r="SC20" s="66"/>
      <c r="SD20" s="66"/>
      <c r="SE20" s="66"/>
      <c r="SF20" s="66"/>
      <c r="SG20" s="66"/>
      <c r="SH20" s="66"/>
      <c r="SI20" s="66"/>
      <c r="SJ20" s="66"/>
      <c r="SK20" s="66"/>
      <c r="SL20" s="66"/>
      <c r="SM20" s="66"/>
      <c r="SN20" s="66"/>
      <c r="SO20" s="66"/>
      <c r="SP20" s="66"/>
      <c r="SQ20" s="66"/>
      <c r="SR20" s="66"/>
      <c r="SS20" s="66"/>
      <c r="ST20" s="66"/>
      <c r="SU20" s="66"/>
      <c r="SV20" s="66"/>
      <c r="SW20" s="66"/>
      <c r="SX20" s="66"/>
      <c r="SY20" s="66"/>
      <c r="SZ20" s="66"/>
      <c r="TA20" s="66"/>
      <c r="TB20" s="66"/>
      <c r="TC20" s="66"/>
      <c r="TD20" s="66"/>
      <c r="TE20" s="66"/>
      <c r="TF20" s="66"/>
      <c r="TG20" s="66"/>
      <c r="TH20" s="66"/>
      <c r="TI20" s="66"/>
      <c r="TJ20" s="66"/>
      <c r="TK20" s="66"/>
      <c r="TL20" s="66"/>
      <c r="TM20" s="66"/>
      <c r="TN20" s="66"/>
      <c r="TO20" s="66"/>
      <c r="TP20" s="66"/>
      <c r="TQ20" s="66"/>
      <c r="TR20" s="66"/>
      <c r="TS20" s="66"/>
      <c r="TT20" s="66"/>
      <c r="TU20" s="66"/>
      <c r="TV20" s="66"/>
      <c r="TW20" s="66"/>
      <c r="TX20" s="66"/>
      <c r="TY20" s="66"/>
      <c r="TZ20" s="66"/>
      <c r="UA20" s="66"/>
      <c r="UB20" s="66"/>
      <c r="UC20" s="66"/>
      <c r="UD20" s="66"/>
      <c r="UE20" s="66"/>
      <c r="UF20" s="66"/>
      <c r="UG20" s="66"/>
      <c r="UH20" s="66"/>
      <c r="UI20" s="66"/>
      <c r="UJ20" s="66"/>
      <c r="UK20" s="66"/>
      <c r="UL20" s="66"/>
      <c r="UM20" s="66"/>
      <c r="UN20" s="66"/>
      <c r="UO20" s="66"/>
      <c r="UP20" s="66"/>
      <c r="UQ20" s="66"/>
      <c r="UR20" s="66"/>
      <c r="US20" s="66"/>
      <c r="UT20" s="66"/>
      <c r="UU20" s="66"/>
      <c r="UV20" s="66"/>
      <c r="UW20" s="66"/>
      <c r="UX20" s="66"/>
      <c r="UY20" s="66"/>
      <c r="UZ20" s="66"/>
      <c r="VA20" s="66"/>
      <c r="VB20" s="66"/>
      <c r="VC20" s="66"/>
      <c r="VD20" s="66"/>
      <c r="VE20" s="66"/>
      <c r="VF20" s="66"/>
      <c r="VG20" s="66"/>
      <c r="VH20" s="66"/>
      <c r="VI20" s="66"/>
      <c r="VJ20" s="66"/>
      <c r="VK20" s="66"/>
      <c r="VL20" s="66"/>
      <c r="VM20" s="66"/>
      <c r="VN20" s="66"/>
      <c r="VO20" s="66"/>
      <c r="VP20" s="66"/>
      <c r="VQ20" s="66"/>
      <c r="VR20" s="66"/>
      <c r="VS20" s="66"/>
      <c r="VT20" s="66"/>
      <c r="VU20" s="66"/>
      <c r="VV20" s="66"/>
      <c r="VW20" s="66"/>
      <c r="VX20" s="66"/>
      <c r="VY20" s="66"/>
      <c r="VZ20" s="66"/>
      <c r="WA20" s="66"/>
      <c r="WB20" s="66"/>
      <c r="WC20" s="66"/>
      <c r="WD20" s="66"/>
      <c r="WE20" s="66"/>
      <c r="WF20" s="66"/>
      <c r="WG20" s="66"/>
      <c r="WH20" s="66"/>
      <c r="WI20" s="66"/>
      <c r="WJ20" s="66"/>
      <c r="WK20" s="66"/>
      <c r="WL20" s="66"/>
      <c r="WM20" s="66"/>
      <c r="WN20" s="66"/>
      <c r="WO20" s="66"/>
      <c r="WP20" s="66"/>
      <c r="WQ20" s="66"/>
      <c r="WR20" s="66"/>
      <c r="WS20" s="66"/>
      <c r="WT20" s="66"/>
      <c r="WU20" s="66"/>
      <c r="WV20" s="66"/>
      <c r="WW20" s="66"/>
      <c r="WX20" s="66"/>
      <c r="WY20" s="66"/>
      <c r="WZ20" s="66"/>
      <c r="XA20" s="66"/>
      <c r="XB20" s="66"/>
      <c r="XC20" s="66"/>
      <c r="XD20" s="66"/>
      <c r="XE20" s="66"/>
      <c r="XF20" s="66"/>
      <c r="XG20" s="66"/>
      <c r="XH20" s="66"/>
      <c r="XI20" s="66"/>
      <c r="XJ20" s="66"/>
      <c r="XK20" s="66"/>
      <c r="XL20" s="66"/>
      <c r="XM20" s="66"/>
      <c r="XN20" s="66"/>
      <c r="XO20" s="66"/>
      <c r="XP20" s="66"/>
      <c r="XQ20" s="66"/>
      <c r="XR20" s="66"/>
      <c r="XS20" s="66"/>
      <c r="XT20" s="66"/>
      <c r="XU20" s="66"/>
      <c r="XV20" s="66"/>
      <c r="XW20" s="66"/>
      <c r="XX20" s="66"/>
      <c r="XY20" s="66"/>
      <c r="XZ20" s="66"/>
      <c r="YA20" s="66"/>
      <c r="YB20" s="66"/>
      <c r="YC20" s="66"/>
      <c r="YD20" s="66"/>
      <c r="YE20" s="66"/>
      <c r="YF20" s="66"/>
      <c r="YG20" s="66"/>
      <c r="YH20" s="66"/>
      <c r="YI20" s="66"/>
      <c r="YJ20" s="66"/>
      <c r="YK20" s="66"/>
      <c r="YL20" s="66"/>
      <c r="YM20" s="66"/>
      <c r="YN20" s="66"/>
      <c r="YO20" s="66"/>
      <c r="YP20" s="66"/>
      <c r="YQ20" s="66"/>
      <c r="YR20" s="66"/>
      <c r="YS20" s="66"/>
      <c r="YT20" s="66"/>
      <c r="YU20" s="66"/>
      <c r="YV20" s="66"/>
      <c r="YW20" s="66"/>
      <c r="YX20" s="66"/>
      <c r="YY20" s="66"/>
      <c r="YZ20" s="66"/>
      <c r="ZA20" s="66"/>
      <c r="ZB20" s="66"/>
      <c r="ZC20" s="66"/>
      <c r="ZD20" s="66"/>
      <c r="ZE20" s="66"/>
      <c r="ZF20" s="66"/>
      <c r="ZG20" s="66"/>
      <c r="ZH20" s="66"/>
      <c r="ZI20" s="66"/>
      <c r="ZJ20" s="66"/>
      <c r="ZK20" s="66"/>
      <c r="ZL20" s="66"/>
      <c r="ZM20" s="66"/>
      <c r="ZN20" s="66"/>
      <c r="ZO20" s="66"/>
      <c r="ZP20" s="66"/>
      <c r="ZQ20" s="66"/>
      <c r="ZR20" s="66"/>
      <c r="ZS20" s="66"/>
      <c r="ZT20" s="66"/>
      <c r="ZU20" s="66"/>
      <c r="ZV20" s="66"/>
      <c r="ZW20" s="66"/>
      <c r="ZX20" s="66"/>
      <c r="ZY20" s="66"/>
      <c r="ZZ20" s="66"/>
      <c r="AAA20" s="66"/>
      <c r="AAB20" s="66"/>
      <c r="AAC20" s="66"/>
      <c r="AAD20" s="66"/>
      <c r="AAE20" s="66"/>
      <c r="AAF20" s="66"/>
      <c r="AAG20" s="66"/>
      <c r="AAH20" s="66"/>
      <c r="AAI20" s="66"/>
      <c r="AAJ20" s="66"/>
      <c r="AAK20" s="66"/>
      <c r="AAL20" s="66"/>
      <c r="AAM20" s="66"/>
      <c r="AAN20" s="66"/>
      <c r="AAO20" s="66"/>
      <c r="AAP20" s="66"/>
      <c r="AAQ20" s="66"/>
      <c r="AAR20" s="66"/>
      <c r="AAS20" s="66"/>
      <c r="AAT20" s="66"/>
      <c r="AAU20" s="66"/>
      <c r="AAV20" s="66"/>
      <c r="AAW20" s="66"/>
      <c r="AAX20" s="66"/>
      <c r="AAY20" s="66"/>
      <c r="AAZ20" s="66"/>
      <c r="ABA20" s="66"/>
      <c r="ABB20" s="66"/>
      <c r="ABC20" s="66"/>
      <c r="ABD20" s="66"/>
      <c r="ABE20" s="66"/>
      <c r="ABF20" s="66"/>
      <c r="ABG20" s="66"/>
      <c r="ABH20" s="66"/>
      <c r="ABI20" s="66"/>
      <c r="ABJ20" s="66"/>
      <c r="ABK20" s="66"/>
      <c r="ABL20" s="66"/>
      <c r="ABM20" s="66"/>
      <c r="ABN20" s="66"/>
      <c r="ABO20" s="66"/>
      <c r="ABP20" s="66"/>
      <c r="ABQ20" s="66"/>
      <c r="ABR20" s="66"/>
      <c r="ABS20" s="66"/>
      <c r="ABT20" s="66"/>
      <c r="ABU20" s="66"/>
      <c r="ABV20" s="66"/>
      <c r="ABW20" s="66"/>
      <c r="ABX20" s="66"/>
      <c r="ABY20" s="66"/>
      <c r="ABZ20" s="66"/>
      <c r="ACA20" s="66"/>
      <c r="ACB20" s="66"/>
      <c r="ACC20" s="66"/>
      <c r="ACD20" s="66"/>
      <c r="ACE20" s="66"/>
      <c r="ACF20" s="66"/>
      <c r="ACG20" s="66"/>
      <c r="ACH20" s="66"/>
      <c r="ACI20" s="66"/>
      <c r="ACJ20" s="66"/>
      <c r="ACK20" s="66"/>
      <c r="ACL20" s="66"/>
      <c r="ACM20" s="66"/>
      <c r="ACN20" s="66"/>
      <c r="ACO20" s="66"/>
      <c r="ACP20" s="66"/>
      <c r="ACQ20" s="66"/>
      <c r="ACR20" s="66"/>
      <c r="ACS20" s="66"/>
      <c r="ACT20" s="66"/>
      <c r="ACU20" s="66"/>
      <c r="ACV20" s="66"/>
      <c r="ACW20" s="66"/>
      <c r="ACX20" s="66"/>
      <c r="ACY20" s="66"/>
      <c r="ACZ20" s="66"/>
      <c r="ADA20" s="66"/>
      <c r="ADB20" s="66"/>
      <c r="ADC20" s="66"/>
      <c r="ADD20" s="66"/>
      <c r="ADE20" s="66"/>
      <c r="ADF20" s="66"/>
      <c r="ADG20" s="66"/>
      <c r="ADH20" s="66"/>
      <c r="ADI20" s="66"/>
      <c r="ADJ20" s="66"/>
      <c r="ADK20" s="66"/>
      <c r="ADL20" s="66"/>
      <c r="ADM20" s="66"/>
      <c r="ADN20" s="66"/>
      <c r="ADO20" s="66"/>
      <c r="ADP20" s="66"/>
      <c r="ADQ20" s="66"/>
      <c r="ADR20" s="66"/>
      <c r="ADS20" s="66"/>
      <c r="ADT20" s="66"/>
      <c r="ADU20" s="66"/>
      <c r="ADV20" s="66"/>
      <c r="ADW20" s="66"/>
      <c r="ADX20" s="66"/>
      <c r="ADY20" s="66"/>
      <c r="ADZ20" s="66"/>
      <c r="AEA20" s="66"/>
      <c r="AEB20" s="66"/>
      <c r="AEC20" s="66"/>
      <c r="AED20" s="66"/>
      <c r="AEE20" s="66"/>
      <c r="AEF20" s="66"/>
      <c r="AEG20" s="66"/>
      <c r="AEH20" s="66"/>
      <c r="AEI20" s="66"/>
      <c r="AEJ20" s="66"/>
      <c r="AEK20" s="66"/>
      <c r="AEL20" s="66"/>
      <c r="AEM20" s="66"/>
      <c r="AEN20" s="66"/>
      <c r="AEO20" s="66"/>
      <c r="AEP20" s="66"/>
      <c r="AEQ20" s="66"/>
      <c r="AER20" s="66"/>
      <c r="AES20" s="66"/>
      <c r="AET20" s="66"/>
      <c r="AEU20" s="66"/>
      <c r="AEV20" s="66"/>
      <c r="AEW20" s="66"/>
      <c r="AEX20" s="66"/>
      <c r="AEY20" s="66"/>
      <c r="AEZ20" s="66"/>
      <c r="AFA20" s="66"/>
      <c r="AFB20" s="66"/>
      <c r="AFC20" s="66"/>
      <c r="AFD20" s="66"/>
      <c r="AFE20" s="66"/>
      <c r="AFF20" s="66"/>
      <c r="AFG20" s="66"/>
      <c r="AFH20" s="66"/>
      <c r="AFI20" s="66"/>
      <c r="AFJ20" s="66"/>
      <c r="AFK20" s="66"/>
      <c r="AFL20" s="66"/>
      <c r="AFM20" s="66"/>
      <c r="AFN20" s="66"/>
      <c r="AFO20" s="66"/>
      <c r="AFP20" s="66"/>
      <c r="AFQ20" s="66"/>
      <c r="AFR20" s="66"/>
      <c r="AFS20" s="66"/>
      <c r="AFT20" s="66"/>
      <c r="AFU20" s="66"/>
      <c r="AFV20" s="66"/>
      <c r="AFW20" s="66"/>
      <c r="AFX20" s="66"/>
      <c r="AFY20" s="66"/>
      <c r="AFZ20" s="66"/>
      <c r="AGA20" s="66"/>
      <c r="AGB20" s="66"/>
      <c r="AGC20" s="66"/>
      <c r="AGD20" s="66"/>
      <c r="AGE20" s="66"/>
      <c r="AGF20" s="66"/>
      <c r="AGG20" s="66"/>
      <c r="AGH20" s="66"/>
      <c r="AGI20" s="66"/>
      <c r="AGJ20" s="66"/>
      <c r="AGK20" s="66"/>
      <c r="AGL20" s="66"/>
      <c r="AGM20" s="66"/>
      <c r="AGN20" s="66"/>
      <c r="AGO20" s="66"/>
      <c r="AGP20" s="66"/>
      <c r="AGQ20" s="66"/>
      <c r="AGR20" s="66"/>
      <c r="AGS20" s="66"/>
      <c r="AGT20" s="66"/>
      <c r="AGU20" s="66"/>
      <c r="AGV20" s="66"/>
      <c r="AGW20" s="66"/>
      <c r="AGX20" s="66"/>
      <c r="AGY20" s="66"/>
      <c r="AGZ20" s="66"/>
      <c r="AHA20" s="66"/>
      <c r="AHB20" s="66"/>
      <c r="AHC20" s="66"/>
      <c r="AHD20" s="66"/>
      <c r="AHE20" s="66"/>
      <c r="AHF20" s="66"/>
      <c r="AHG20" s="66"/>
      <c r="AHH20" s="66"/>
      <c r="AHI20" s="66"/>
      <c r="AHJ20" s="66"/>
      <c r="AHK20" s="66"/>
      <c r="AHL20" s="66"/>
      <c r="AHM20" s="66"/>
      <c r="AHN20" s="66"/>
      <c r="AHO20" s="66"/>
      <c r="AHP20" s="66"/>
      <c r="AHQ20" s="66"/>
      <c r="AHR20" s="66"/>
      <c r="AHS20" s="66"/>
      <c r="AHT20" s="66"/>
      <c r="AHU20" s="66"/>
      <c r="AHV20" s="66"/>
      <c r="AHW20" s="66"/>
      <c r="AHX20" s="66"/>
      <c r="AHY20" s="66"/>
      <c r="AHZ20" s="66"/>
      <c r="AIA20" s="66"/>
      <c r="AIB20" s="66"/>
      <c r="AIC20" s="66"/>
      <c r="AID20" s="66"/>
      <c r="AIE20" s="66"/>
      <c r="AIF20" s="66"/>
      <c r="AIG20" s="66"/>
      <c r="AIH20" s="66"/>
      <c r="AII20" s="66"/>
      <c r="AIJ20" s="66"/>
      <c r="AIK20" s="66"/>
      <c r="AIL20" s="66"/>
      <c r="AIM20" s="66"/>
      <c r="AIN20" s="66"/>
      <c r="AIO20" s="66"/>
      <c r="AIP20" s="66"/>
      <c r="AIQ20" s="66"/>
      <c r="AIR20" s="66"/>
      <c r="AIS20" s="66"/>
      <c r="AIT20" s="66"/>
      <c r="AIU20" s="66"/>
      <c r="AIV20" s="66"/>
      <c r="AIW20" s="66"/>
      <c r="AIX20" s="66"/>
      <c r="AIY20" s="66"/>
      <c r="AIZ20" s="66"/>
      <c r="AJA20" s="66"/>
      <c r="AJB20" s="66"/>
      <c r="AJC20" s="66"/>
      <c r="AJD20" s="66"/>
      <c r="AJE20" s="66"/>
      <c r="AJF20" s="66"/>
      <c r="AJG20" s="66"/>
      <c r="AJH20" s="66"/>
      <c r="AJI20" s="66"/>
      <c r="AJJ20" s="66"/>
      <c r="AJK20" s="66"/>
      <c r="AJL20" s="66"/>
      <c r="AJM20" s="66"/>
      <c r="AJN20" s="66"/>
      <c r="AJO20" s="66"/>
      <c r="AJP20" s="66"/>
      <c r="AJQ20" s="66"/>
      <c r="AJR20" s="66"/>
      <c r="AJS20" s="66"/>
      <c r="AJT20" s="66"/>
      <c r="AJU20" s="66"/>
      <c r="AJV20" s="66"/>
      <c r="AJW20" s="66"/>
      <c r="AJX20" s="66"/>
      <c r="AJY20" s="66"/>
      <c r="AJZ20" s="66"/>
      <c r="AKA20" s="66"/>
      <c r="AKB20" s="66"/>
      <c r="AKC20" s="66"/>
      <c r="AKD20" s="66"/>
      <c r="AKE20" s="66"/>
      <c r="AKF20" s="66"/>
      <c r="AKG20" s="66"/>
      <c r="AKH20" s="66"/>
      <c r="AKI20" s="66"/>
      <c r="AKJ20" s="66"/>
      <c r="AKK20" s="66"/>
      <c r="AKL20" s="66"/>
      <c r="AKM20" s="66"/>
      <c r="AKN20" s="66"/>
      <c r="AKO20" s="66"/>
      <c r="AKP20" s="66"/>
      <c r="AKQ20" s="66"/>
      <c r="AKR20" s="66"/>
      <c r="AKS20" s="66"/>
      <c r="AKT20" s="66"/>
      <c r="AKU20" s="66"/>
      <c r="AKV20" s="66"/>
      <c r="AKW20" s="66"/>
      <c r="AKX20" s="66"/>
      <c r="AKY20" s="66"/>
      <c r="AKZ20" s="66"/>
      <c r="ALA20" s="66"/>
      <c r="ALB20" s="66"/>
      <c r="ALC20" s="66"/>
      <c r="ALD20" s="66"/>
      <c r="ALE20" s="66"/>
      <c r="ALF20" s="66"/>
      <c r="ALG20" s="66"/>
      <c r="ALH20" s="66"/>
      <c r="ALI20" s="66"/>
      <c r="ALJ20" s="66"/>
      <c r="ALK20" s="66"/>
    </row>
    <row r="21" spans="2:999" x14ac:dyDescent="0.25">
      <c r="B21" s="29" t="s">
        <v>182</v>
      </c>
      <c r="C21" s="8" t="s">
        <v>181</v>
      </c>
      <c r="D21" s="30" t="s">
        <v>166</v>
      </c>
      <c r="E21" s="26"/>
      <c r="F21" s="35">
        <v>1.127</v>
      </c>
      <c r="G21" s="35">
        <v>0</v>
      </c>
      <c r="H21" s="35">
        <v>0</v>
      </c>
      <c r="I21" s="35">
        <v>1.72</v>
      </c>
      <c r="J21" s="35">
        <v>2.375</v>
      </c>
      <c r="K21" s="35">
        <v>0</v>
      </c>
      <c r="L21" s="35">
        <v>0</v>
      </c>
      <c r="M21" s="59"/>
      <c r="N21" s="61"/>
      <c r="O21" s="61"/>
      <c r="P21" s="61"/>
      <c r="Q21" s="61"/>
      <c r="R21" s="61"/>
      <c r="S21" s="59"/>
      <c r="T21" s="59"/>
      <c r="U21" s="23"/>
      <c r="V21" s="22">
        <v>1.2849999999999999</v>
      </c>
      <c r="W21" s="23"/>
      <c r="X21" s="23"/>
      <c r="Y21" s="23">
        <v>1.784</v>
      </c>
      <c r="Z21" s="23">
        <v>2.4649999999999999</v>
      </c>
      <c r="AA21" s="23"/>
      <c r="AB21" s="23"/>
    </row>
    <row r="22" spans="2:999" ht="13.5" customHeight="1" x14ac:dyDescent="0.25">
      <c r="B22" s="29" t="s">
        <v>182</v>
      </c>
      <c r="C22" s="29" t="s">
        <v>181</v>
      </c>
      <c r="D22" s="30" t="s">
        <v>158</v>
      </c>
      <c r="E22" s="35"/>
      <c r="F22" s="35">
        <v>0.01</v>
      </c>
      <c r="G22" s="35">
        <v>0</v>
      </c>
      <c r="H22" s="35">
        <v>0</v>
      </c>
      <c r="I22" s="35">
        <v>1.2E-2</v>
      </c>
      <c r="J22" s="32">
        <v>1.7999999999999999E-2</v>
      </c>
      <c r="K22" s="35">
        <v>0</v>
      </c>
      <c r="L22" s="35">
        <v>0</v>
      </c>
      <c r="M22" s="59"/>
      <c r="N22" s="61"/>
      <c r="O22" s="61"/>
      <c r="P22" s="61"/>
      <c r="Q22" s="61"/>
      <c r="R22" s="61"/>
      <c r="S22" s="59"/>
      <c r="T22" s="59"/>
      <c r="U22" s="42"/>
      <c r="V22" s="22">
        <v>1.7999999999999999E-2</v>
      </c>
      <c r="W22" s="22"/>
      <c r="X22" s="22"/>
      <c r="Y22" s="22">
        <v>1.9E-2</v>
      </c>
      <c r="Z22" s="22">
        <v>2.8000000000000001E-2</v>
      </c>
      <c r="AA22" s="22"/>
      <c r="AB22" s="23"/>
    </row>
    <row r="23" spans="2:999" s="67" customFormat="1" x14ac:dyDescent="0.25">
      <c r="B23" s="30" t="s">
        <v>182</v>
      </c>
      <c r="C23" s="30" t="s">
        <v>181</v>
      </c>
      <c r="D23" s="30" t="s">
        <v>167</v>
      </c>
      <c r="E23" s="41"/>
      <c r="F23" s="68">
        <v>0.68799999999999994</v>
      </c>
      <c r="G23" s="68">
        <v>0</v>
      </c>
      <c r="H23" s="68">
        <v>0</v>
      </c>
      <c r="I23" s="68">
        <v>0.76900000000000002</v>
      </c>
      <c r="J23" s="68">
        <v>0.41499999999999998</v>
      </c>
      <c r="K23" s="69">
        <v>0</v>
      </c>
      <c r="L23" s="41">
        <v>0</v>
      </c>
      <c r="M23" s="63"/>
      <c r="N23" s="64"/>
      <c r="O23" s="64"/>
      <c r="P23" s="64"/>
      <c r="Q23" s="64"/>
      <c r="R23" s="64"/>
      <c r="S23" s="75"/>
      <c r="T23" s="75"/>
      <c r="U23" s="36"/>
      <c r="V23" s="65">
        <v>5.2359999999999998</v>
      </c>
      <c r="W23" s="36">
        <v>0.46400000000000002</v>
      </c>
      <c r="X23" s="36"/>
      <c r="Y23" s="36">
        <v>22.62</v>
      </c>
      <c r="Z23" s="36">
        <v>28.789000000000001</v>
      </c>
      <c r="AA23" s="36"/>
      <c r="AB23" s="65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  <c r="IK23" s="66"/>
      <c r="IL23" s="66"/>
      <c r="IM23" s="66"/>
      <c r="IN23" s="66"/>
      <c r="IO23" s="66"/>
      <c r="IP23" s="66"/>
      <c r="IQ23" s="66"/>
      <c r="IR23" s="66"/>
      <c r="IS23" s="66"/>
      <c r="IT23" s="66"/>
      <c r="IU23" s="66"/>
      <c r="IV23" s="66"/>
      <c r="IW23" s="66"/>
      <c r="IX23" s="66"/>
      <c r="IY23" s="66"/>
      <c r="IZ23" s="66"/>
      <c r="JA23" s="66"/>
      <c r="JB23" s="66"/>
      <c r="JC23" s="66"/>
      <c r="JD23" s="66"/>
      <c r="JE23" s="66"/>
      <c r="JF23" s="66"/>
      <c r="JG23" s="66"/>
      <c r="JH23" s="66"/>
      <c r="JI23" s="66"/>
      <c r="JJ23" s="66"/>
      <c r="JK23" s="66"/>
      <c r="JL23" s="66"/>
      <c r="JM23" s="66"/>
      <c r="JN23" s="66"/>
      <c r="JO23" s="66"/>
      <c r="JP23" s="66"/>
      <c r="JQ23" s="66"/>
      <c r="JR23" s="66"/>
      <c r="JS23" s="66"/>
      <c r="JT23" s="66"/>
      <c r="JU23" s="66"/>
      <c r="JV23" s="66"/>
      <c r="JW23" s="66"/>
      <c r="JX23" s="66"/>
      <c r="JY23" s="66"/>
      <c r="JZ23" s="66"/>
      <c r="KA23" s="66"/>
      <c r="KB23" s="66"/>
      <c r="KC23" s="66"/>
      <c r="KD23" s="66"/>
      <c r="KE23" s="66"/>
      <c r="KF23" s="66"/>
      <c r="KG23" s="66"/>
      <c r="KH23" s="66"/>
      <c r="KI23" s="66"/>
      <c r="KJ23" s="66"/>
      <c r="KK23" s="66"/>
      <c r="KL23" s="66"/>
      <c r="KM23" s="66"/>
      <c r="KN23" s="66"/>
      <c r="KO23" s="66"/>
      <c r="KP23" s="66"/>
      <c r="KQ23" s="66"/>
      <c r="KR23" s="66"/>
      <c r="KS23" s="66"/>
      <c r="KT23" s="66"/>
      <c r="KU23" s="66"/>
      <c r="KV23" s="66"/>
      <c r="KW23" s="66"/>
      <c r="KX23" s="66"/>
      <c r="KY23" s="66"/>
      <c r="KZ23" s="66"/>
      <c r="LA23" s="66"/>
      <c r="LB23" s="66"/>
      <c r="LC23" s="66"/>
      <c r="LD23" s="66"/>
      <c r="LE23" s="66"/>
      <c r="LF23" s="66"/>
      <c r="LG23" s="66"/>
      <c r="LH23" s="66"/>
      <c r="LI23" s="66"/>
      <c r="LJ23" s="66"/>
      <c r="LK23" s="66"/>
      <c r="LL23" s="66"/>
      <c r="LM23" s="66"/>
      <c r="LN23" s="66"/>
      <c r="LO23" s="66"/>
      <c r="LP23" s="66"/>
      <c r="LQ23" s="66"/>
      <c r="LR23" s="66"/>
      <c r="LS23" s="66"/>
      <c r="LT23" s="66"/>
      <c r="LU23" s="66"/>
      <c r="LV23" s="66"/>
      <c r="LW23" s="66"/>
      <c r="LX23" s="66"/>
      <c r="LY23" s="66"/>
      <c r="LZ23" s="66"/>
      <c r="MA23" s="66"/>
      <c r="MB23" s="66"/>
      <c r="MC23" s="66"/>
      <c r="MD23" s="66"/>
      <c r="ME23" s="66"/>
      <c r="MF23" s="66"/>
      <c r="MG23" s="66"/>
      <c r="MH23" s="66"/>
      <c r="MI23" s="66"/>
      <c r="MJ23" s="66"/>
      <c r="MK23" s="66"/>
      <c r="ML23" s="66"/>
      <c r="MM23" s="66"/>
      <c r="MN23" s="66"/>
      <c r="MO23" s="66"/>
      <c r="MP23" s="66"/>
      <c r="MQ23" s="66"/>
      <c r="MR23" s="66"/>
      <c r="MS23" s="66"/>
      <c r="MT23" s="66"/>
      <c r="MU23" s="66"/>
      <c r="MV23" s="66"/>
      <c r="MW23" s="66"/>
      <c r="MX23" s="66"/>
      <c r="MY23" s="66"/>
      <c r="MZ23" s="66"/>
      <c r="NA23" s="66"/>
      <c r="NB23" s="66"/>
      <c r="NC23" s="66"/>
      <c r="ND23" s="66"/>
      <c r="NE23" s="66"/>
      <c r="NF23" s="66"/>
      <c r="NG23" s="66"/>
      <c r="NH23" s="66"/>
      <c r="NI23" s="66"/>
      <c r="NJ23" s="66"/>
      <c r="NK23" s="66"/>
      <c r="NL23" s="66"/>
      <c r="NM23" s="66"/>
      <c r="NN23" s="66"/>
      <c r="NO23" s="66"/>
      <c r="NP23" s="66"/>
      <c r="NQ23" s="66"/>
      <c r="NR23" s="66"/>
      <c r="NS23" s="66"/>
      <c r="NT23" s="66"/>
      <c r="NU23" s="66"/>
      <c r="NV23" s="66"/>
      <c r="NW23" s="66"/>
      <c r="NX23" s="66"/>
      <c r="NY23" s="66"/>
      <c r="NZ23" s="66"/>
      <c r="OA23" s="66"/>
      <c r="OB23" s="66"/>
      <c r="OC23" s="66"/>
      <c r="OD23" s="66"/>
      <c r="OE23" s="66"/>
      <c r="OF23" s="66"/>
      <c r="OG23" s="66"/>
      <c r="OH23" s="66"/>
      <c r="OI23" s="66"/>
      <c r="OJ23" s="66"/>
      <c r="OK23" s="66"/>
      <c r="OL23" s="66"/>
      <c r="OM23" s="66"/>
      <c r="ON23" s="66"/>
      <c r="OO23" s="66"/>
      <c r="OP23" s="66"/>
      <c r="OQ23" s="66"/>
      <c r="OR23" s="66"/>
      <c r="OS23" s="66"/>
      <c r="OT23" s="66"/>
      <c r="OU23" s="66"/>
      <c r="OV23" s="66"/>
      <c r="OW23" s="66"/>
      <c r="OX23" s="66"/>
      <c r="OY23" s="66"/>
      <c r="OZ23" s="66"/>
      <c r="PA23" s="66"/>
      <c r="PB23" s="66"/>
      <c r="PC23" s="66"/>
      <c r="PD23" s="66"/>
      <c r="PE23" s="66"/>
      <c r="PF23" s="66"/>
      <c r="PG23" s="66"/>
      <c r="PH23" s="66"/>
      <c r="PI23" s="66"/>
      <c r="PJ23" s="66"/>
      <c r="PK23" s="66"/>
      <c r="PL23" s="66"/>
      <c r="PM23" s="66"/>
      <c r="PN23" s="66"/>
      <c r="PO23" s="66"/>
      <c r="PP23" s="66"/>
      <c r="PQ23" s="66"/>
      <c r="PR23" s="66"/>
      <c r="PS23" s="66"/>
      <c r="PT23" s="66"/>
      <c r="PU23" s="66"/>
      <c r="PV23" s="66"/>
      <c r="PW23" s="66"/>
      <c r="PX23" s="66"/>
      <c r="PY23" s="66"/>
      <c r="PZ23" s="66"/>
      <c r="QA23" s="66"/>
      <c r="QB23" s="66"/>
      <c r="QC23" s="66"/>
      <c r="QD23" s="66"/>
      <c r="QE23" s="66"/>
      <c r="QF23" s="66"/>
      <c r="QG23" s="66"/>
      <c r="QH23" s="66"/>
      <c r="QI23" s="66"/>
      <c r="QJ23" s="66"/>
      <c r="QK23" s="66"/>
      <c r="QL23" s="66"/>
      <c r="QM23" s="66"/>
      <c r="QN23" s="66"/>
      <c r="QO23" s="66"/>
      <c r="QP23" s="66"/>
      <c r="QQ23" s="66"/>
      <c r="QR23" s="66"/>
      <c r="QS23" s="66"/>
      <c r="QT23" s="66"/>
      <c r="QU23" s="66"/>
      <c r="QV23" s="66"/>
      <c r="QW23" s="66"/>
      <c r="QX23" s="66"/>
      <c r="QY23" s="66"/>
      <c r="QZ23" s="66"/>
      <c r="RA23" s="66"/>
      <c r="RB23" s="66"/>
      <c r="RC23" s="66"/>
      <c r="RD23" s="66"/>
      <c r="RE23" s="66"/>
      <c r="RF23" s="66"/>
      <c r="RG23" s="66"/>
      <c r="RH23" s="66"/>
      <c r="RI23" s="66"/>
      <c r="RJ23" s="66"/>
      <c r="RK23" s="66"/>
      <c r="RL23" s="66"/>
      <c r="RM23" s="66"/>
      <c r="RN23" s="66"/>
      <c r="RO23" s="66"/>
      <c r="RP23" s="66"/>
      <c r="RQ23" s="66"/>
      <c r="RR23" s="66"/>
      <c r="RS23" s="66"/>
      <c r="RT23" s="66"/>
      <c r="RU23" s="66"/>
      <c r="RV23" s="66"/>
      <c r="RW23" s="66"/>
      <c r="RX23" s="66"/>
      <c r="RY23" s="66"/>
      <c r="RZ23" s="66"/>
      <c r="SA23" s="66"/>
      <c r="SB23" s="66"/>
      <c r="SC23" s="66"/>
      <c r="SD23" s="66"/>
      <c r="SE23" s="66"/>
      <c r="SF23" s="66"/>
      <c r="SG23" s="66"/>
      <c r="SH23" s="66"/>
      <c r="SI23" s="66"/>
      <c r="SJ23" s="66"/>
      <c r="SK23" s="66"/>
      <c r="SL23" s="66"/>
      <c r="SM23" s="66"/>
      <c r="SN23" s="66"/>
      <c r="SO23" s="66"/>
      <c r="SP23" s="66"/>
      <c r="SQ23" s="66"/>
      <c r="SR23" s="66"/>
      <c r="SS23" s="66"/>
      <c r="ST23" s="66"/>
      <c r="SU23" s="66"/>
      <c r="SV23" s="66"/>
      <c r="SW23" s="66"/>
      <c r="SX23" s="66"/>
      <c r="SY23" s="66"/>
      <c r="SZ23" s="66"/>
      <c r="TA23" s="66"/>
      <c r="TB23" s="66"/>
      <c r="TC23" s="66"/>
      <c r="TD23" s="66"/>
      <c r="TE23" s="66"/>
      <c r="TF23" s="66"/>
      <c r="TG23" s="66"/>
      <c r="TH23" s="66"/>
      <c r="TI23" s="66"/>
      <c r="TJ23" s="66"/>
      <c r="TK23" s="66"/>
      <c r="TL23" s="66"/>
      <c r="TM23" s="66"/>
      <c r="TN23" s="66"/>
      <c r="TO23" s="66"/>
      <c r="TP23" s="66"/>
      <c r="TQ23" s="66"/>
      <c r="TR23" s="66"/>
      <c r="TS23" s="66"/>
      <c r="TT23" s="66"/>
      <c r="TU23" s="66"/>
      <c r="TV23" s="66"/>
      <c r="TW23" s="66"/>
      <c r="TX23" s="66"/>
      <c r="TY23" s="66"/>
      <c r="TZ23" s="66"/>
      <c r="UA23" s="66"/>
      <c r="UB23" s="66"/>
      <c r="UC23" s="66"/>
      <c r="UD23" s="66"/>
      <c r="UE23" s="66"/>
      <c r="UF23" s="66"/>
      <c r="UG23" s="66"/>
      <c r="UH23" s="66"/>
      <c r="UI23" s="66"/>
      <c r="UJ23" s="66"/>
      <c r="UK23" s="66"/>
      <c r="UL23" s="66"/>
      <c r="UM23" s="66"/>
      <c r="UN23" s="66"/>
      <c r="UO23" s="66"/>
      <c r="UP23" s="66"/>
      <c r="UQ23" s="66"/>
      <c r="UR23" s="66"/>
      <c r="US23" s="66"/>
      <c r="UT23" s="66"/>
      <c r="UU23" s="66"/>
      <c r="UV23" s="66"/>
      <c r="UW23" s="66"/>
      <c r="UX23" s="66"/>
      <c r="UY23" s="66"/>
      <c r="UZ23" s="66"/>
      <c r="VA23" s="66"/>
      <c r="VB23" s="66"/>
      <c r="VC23" s="66"/>
      <c r="VD23" s="66"/>
      <c r="VE23" s="66"/>
      <c r="VF23" s="66"/>
      <c r="VG23" s="66"/>
      <c r="VH23" s="66"/>
      <c r="VI23" s="66"/>
      <c r="VJ23" s="66"/>
      <c r="VK23" s="66"/>
      <c r="VL23" s="66"/>
      <c r="VM23" s="66"/>
      <c r="VN23" s="66"/>
      <c r="VO23" s="66"/>
      <c r="VP23" s="66"/>
      <c r="VQ23" s="66"/>
      <c r="VR23" s="66"/>
      <c r="VS23" s="66"/>
      <c r="VT23" s="66"/>
      <c r="VU23" s="66"/>
      <c r="VV23" s="66"/>
      <c r="VW23" s="66"/>
      <c r="VX23" s="66"/>
      <c r="VY23" s="66"/>
      <c r="VZ23" s="66"/>
      <c r="WA23" s="66"/>
      <c r="WB23" s="66"/>
      <c r="WC23" s="66"/>
      <c r="WD23" s="66"/>
      <c r="WE23" s="66"/>
      <c r="WF23" s="66"/>
      <c r="WG23" s="66"/>
      <c r="WH23" s="66"/>
      <c r="WI23" s="66"/>
      <c r="WJ23" s="66"/>
      <c r="WK23" s="66"/>
      <c r="WL23" s="66"/>
      <c r="WM23" s="66"/>
      <c r="WN23" s="66"/>
      <c r="WO23" s="66"/>
      <c r="WP23" s="66"/>
      <c r="WQ23" s="66"/>
      <c r="WR23" s="66"/>
      <c r="WS23" s="66"/>
      <c r="WT23" s="66"/>
      <c r="WU23" s="66"/>
      <c r="WV23" s="66"/>
      <c r="WW23" s="66"/>
      <c r="WX23" s="66"/>
      <c r="WY23" s="66"/>
      <c r="WZ23" s="66"/>
      <c r="XA23" s="66"/>
      <c r="XB23" s="66"/>
      <c r="XC23" s="66"/>
      <c r="XD23" s="66"/>
      <c r="XE23" s="66"/>
      <c r="XF23" s="66"/>
      <c r="XG23" s="66"/>
      <c r="XH23" s="66"/>
      <c r="XI23" s="66"/>
      <c r="XJ23" s="66"/>
      <c r="XK23" s="66"/>
      <c r="XL23" s="66"/>
      <c r="XM23" s="66"/>
      <c r="XN23" s="66"/>
      <c r="XO23" s="66"/>
      <c r="XP23" s="66"/>
      <c r="XQ23" s="66"/>
      <c r="XR23" s="66"/>
      <c r="XS23" s="66"/>
      <c r="XT23" s="66"/>
      <c r="XU23" s="66"/>
      <c r="XV23" s="66"/>
      <c r="XW23" s="66"/>
      <c r="XX23" s="66"/>
      <c r="XY23" s="66"/>
      <c r="XZ23" s="66"/>
      <c r="YA23" s="66"/>
      <c r="YB23" s="66"/>
      <c r="YC23" s="66"/>
      <c r="YD23" s="66"/>
      <c r="YE23" s="66"/>
      <c r="YF23" s="66"/>
      <c r="YG23" s="66"/>
      <c r="YH23" s="66"/>
      <c r="YI23" s="66"/>
      <c r="YJ23" s="66"/>
      <c r="YK23" s="66"/>
      <c r="YL23" s="66"/>
      <c r="YM23" s="66"/>
      <c r="YN23" s="66"/>
      <c r="YO23" s="66"/>
      <c r="YP23" s="66"/>
      <c r="YQ23" s="66"/>
      <c r="YR23" s="66"/>
      <c r="YS23" s="66"/>
      <c r="YT23" s="66"/>
      <c r="YU23" s="66"/>
      <c r="YV23" s="66"/>
      <c r="YW23" s="66"/>
      <c r="YX23" s="66"/>
      <c r="YY23" s="66"/>
      <c r="YZ23" s="66"/>
      <c r="ZA23" s="66"/>
      <c r="ZB23" s="66"/>
      <c r="ZC23" s="66"/>
      <c r="ZD23" s="66"/>
      <c r="ZE23" s="66"/>
      <c r="ZF23" s="66"/>
      <c r="ZG23" s="66"/>
      <c r="ZH23" s="66"/>
      <c r="ZI23" s="66"/>
      <c r="ZJ23" s="66"/>
      <c r="ZK23" s="66"/>
      <c r="ZL23" s="66"/>
      <c r="ZM23" s="66"/>
      <c r="ZN23" s="66"/>
      <c r="ZO23" s="66"/>
      <c r="ZP23" s="66"/>
      <c r="ZQ23" s="66"/>
      <c r="ZR23" s="66"/>
      <c r="ZS23" s="66"/>
      <c r="ZT23" s="66"/>
      <c r="ZU23" s="66"/>
      <c r="ZV23" s="66"/>
      <c r="ZW23" s="66"/>
      <c r="ZX23" s="66"/>
      <c r="ZY23" s="66"/>
      <c r="ZZ23" s="66"/>
      <c r="AAA23" s="66"/>
      <c r="AAB23" s="66"/>
      <c r="AAC23" s="66"/>
      <c r="AAD23" s="66"/>
      <c r="AAE23" s="66"/>
      <c r="AAF23" s="66"/>
      <c r="AAG23" s="66"/>
      <c r="AAH23" s="66"/>
      <c r="AAI23" s="66"/>
      <c r="AAJ23" s="66"/>
      <c r="AAK23" s="66"/>
      <c r="AAL23" s="66"/>
      <c r="AAM23" s="66"/>
      <c r="AAN23" s="66"/>
      <c r="AAO23" s="66"/>
      <c r="AAP23" s="66"/>
      <c r="AAQ23" s="66"/>
      <c r="AAR23" s="66"/>
      <c r="AAS23" s="66"/>
      <c r="AAT23" s="66"/>
      <c r="AAU23" s="66"/>
      <c r="AAV23" s="66"/>
      <c r="AAW23" s="66"/>
      <c r="AAX23" s="66"/>
      <c r="AAY23" s="66"/>
      <c r="AAZ23" s="66"/>
      <c r="ABA23" s="66"/>
      <c r="ABB23" s="66"/>
      <c r="ABC23" s="66"/>
      <c r="ABD23" s="66"/>
      <c r="ABE23" s="66"/>
      <c r="ABF23" s="66"/>
      <c r="ABG23" s="66"/>
      <c r="ABH23" s="66"/>
      <c r="ABI23" s="66"/>
      <c r="ABJ23" s="66"/>
      <c r="ABK23" s="66"/>
      <c r="ABL23" s="66"/>
      <c r="ABM23" s="66"/>
      <c r="ABN23" s="66"/>
      <c r="ABO23" s="66"/>
      <c r="ABP23" s="66"/>
      <c r="ABQ23" s="66"/>
      <c r="ABR23" s="66"/>
      <c r="ABS23" s="66"/>
      <c r="ABT23" s="66"/>
      <c r="ABU23" s="66"/>
      <c r="ABV23" s="66"/>
      <c r="ABW23" s="66"/>
      <c r="ABX23" s="66"/>
      <c r="ABY23" s="66"/>
      <c r="ABZ23" s="66"/>
      <c r="ACA23" s="66"/>
      <c r="ACB23" s="66"/>
      <c r="ACC23" s="66"/>
      <c r="ACD23" s="66"/>
      <c r="ACE23" s="66"/>
      <c r="ACF23" s="66"/>
      <c r="ACG23" s="66"/>
      <c r="ACH23" s="66"/>
      <c r="ACI23" s="66"/>
      <c r="ACJ23" s="66"/>
      <c r="ACK23" s="66"/>
      <c r="ACL23" s="66"/>
      <c r="ACM23" s="66"/>
      <c r="ACN23" s="66"/>
      <c r="ACO23" s="66"/>
      <c r="ACP23" s="66"/>
      <c r="ACQ23" s="66"/>
      <c r="ACR23" s="66"/>
      <c r="ACS23" s="66"/>
      <c r="ACT23" s="66"/>
      <c r="ACU23" s="66"/>
      <c r="ACV23" s="66"/>
      <c r="ACW23" s="66"/>
      <c r="ACX23" s="66"/>
      <c r="ACY23" s="66"/>
      <c r="ACZ23" s="66"/>
      <c r="ADA23" s="66"/>
      <c r="ADB23" s="66"/>
      <c r="ADC23" s="66"/>
      <c r="ADD23" s="66"/>
      <c r="ADE23" s="66"/>
      <c r="ADF23" s="66"/>
      <c r="ADG23" s="66"/>
      <c r="ADH23" s="66"/>
      <c r="ADI23" s="66"/>
      <c r="ADJ23" s="66"/>
      <c r="ADK23" s="66"/>
      <c r="ADL23" s="66"/>
      <c r="ADM23" s="66"/>
      <c r="ADN23" s="66"/>
      <c r="ADO23" s="66"/>
      <c r="ADP23" s="66"/>
      <c r="ADQ23" s="66"/>
      <c r="ADR23" s="66"/>
      <c r="ADS23" s="66"/>
      <c r="ADT23" s="66"/>
      <c r="ADU23" s="66"/>
      <c r="ADV23" s="66"/>
      <c r="ADW23" s="66"/>
      <c r="ADX23" s="66"/>
      <c r="ADY23" s="66"/>
      <c r="ADZ23" s="66"/>
      <c r="AEA23" s="66"/>
      <c r="AEB23" s="66"/>
      <c r="AEC23" s="66"/>
      <c r="AED23" s="66"/>
      <c r="AEE23" s="66"/>
      <c r="AEF23" s="66"/>
      <c r="AEG23" s="66"/>
      <c r="AEH23" s="66"/>
      <c r="AEI23" s="66"/>
      <c r="AEJ23" s="66"/>
      <c r="AEK23" s="66"/>
      <c r="AEL23" s="66"/>
      <c r="AEM23" s="66"/>
      <c r="AEN23" s="66"/>
      <c r="AEO23" s="66"/>
      <c r="AEP23" s="66"/>
      <c r="AEQ23" s="66"/>
      <c r="AER23" s="66"/>
      <c r="AES23" s="66"/>
      <c r="AET23" s="66"/>
      <c r="AEU23" s="66"/>
      <c r="AEV23" s="66"/>
      <c r="AEW23" s="66"/>
      <c r="AEX23" s="66"/>
      <c r="AEY23" s="66"/>
      <c r="AEZ23" s="66"/>
      <c r="AFA23" s="66"/>
      <c r="AFB23" s="66"/>
      <c r="AFC23" s="66"/>
      <c r="AFD23" s="66"/>
      <c r="AFE23" s="66"/>
      <c r="AFF23" s="66"/>
      <c r="AFG23" s="66"/>
      <c r="AFH23" s="66"/>
      <c r="AFI23" s="66"/>
      <c r="AFJ23" s="66"/>
      <c r="AFK23" s="66"/>
      <c r="AFL23" s="66"/>
      <c r="AFM23" s="66"/>
      <c r="AFN23" s="66"/>
      <c r="AFO23" s="66"/>
      <c r="AFP23" s="66"/>
      <c r="AFQ23" s="66"/>
      <c r="AFR23" s="66"/>
      <c r="AFS23" s="66"/>
      <c r="AFT23" s="66"/>
      <c r="AFU23" s="66"/>
      <c r="AFV23" s="66"/>
      <c r="AFW23" s="66"/>
      <c r="AFX23" s="66"/>
      <c r="AFY23" s="66"/>
      <c r="AFZ23" s="66"/>
      <c r="AGA23" s="66"/>
      <c r="AGB23" s="66"/>
      <c r="AGC23" s="66"/>
      <c r="AGD23" s="66"/>
      <c r="AGE23" s="66"/>
      <c r="AGF23" s="66"/>
      <c r="AGG23" s="66"/>
      <c r="AGH23" s="66"/>
      <c r="AGI23" s="66"/>
      <c r="AGJ23" s="66"/>
      <c r="AGK23" s="66"/>
      <c r="AGL23" s="66"/>
      <c r="AGM23" s="66"/>
      <c r="AGN23" s="66"/>
      <c r="AGO23" s="66"/>
      <c r="AGP23" s="66"/>
      <c r="AGQ23" s="66"/>
      <c r="AGR23" s="66"/>
      <c r="AGS23" s="66"/>
      <c r="AGT23" s="66"/>
      <c r="AGU23" s="66"/>
      <c r="AGV23" s="66"/>
      <c r="AGW23" s="66"/>
      <c r="AGX23" s="66"/>
      <c r="AGY23" s="66"/>
      <c r="AGZ23" s="66"/>
      <c r="AHA23" s="66"/>
      <c r="AHB23" s="66"/>
      <c r="AHC23" s="66"/>
      <c r="AHD23" s="66"/>
      <c r="AHE23" s="66"/>
      <c r="AHF23" s="66"/>
      <c r="AHG23" s="66"/>
      <c r="AHH23" s="66"/>
      <c r="AHI23" s="66"/>
      <c r="AHJ23" s="66"/>
      <c r="AHK23" s="66"/>
      <c r="AHL23" s="66"/>
      <c r="AHM23" s="66"/>
      <c r="AHN23" s="66"/>
      <c r="AHO23" s="66"/>
      <c r="AHP23" s="66"/>
      <c r="AHQ23" s="66"/>
      <c r="AHR23" s="66"/>
      <c r="AHS23" s="66"/>
      <c r="AHT23" s="66"/>
      <c r="AHU23" s="66"/>
      <c r="AHV23" s="66"/>
      <c r="AHW23" s="66"/>
      <c r="AHX23" s="66"/>
      <c r="AHY23" s="66"/>
      <c r="AHZ23" s="66"/>
      <c r="AIA23" s="66"/>
      <c r="AIB23" s="66"/>
      <c r="AIC23" s="66"/>
      <c r="AID23" s="66"/>
      <c r="AIE23" s="66"/>
      <c r="AIF23" s="66"/>
      <c r="AIG23" s="66"/>
      <c r="AIH23" s="66"/>
      <c r="AII23" s="66"/>
      <c r="AIJ23" s="66"/>
      <c r="AIK23" s="66"/>
      <c r="AIL23" s="66"/>
      <c r="AIM23" s="66"/>
      <c r="AIN23" s="66"/>
      <c r="AIO23" s="66"/>
      <c r="AIP23" s="66"/>
      <c r="AIQ23" s="66"/>
      <c r="AIR23" s="66"/>
      <c r="AIS23" s="66"/>
      <c r="AIT23" s="66"/>
      <c r="AIU23" s="66"/>
      <c r="AIV23" s="66"/>
      <c r="AIW23" s="66"/>
      <c r="AIX23" s="66"/>
      <c r="AIY23" s="66"/>
      <c r="AIZ23" s="66"/>
      <c r="AJA23" s="66"/>
      <c r="AJB23" s="66"/>
      <c r="AJC23" s="66"/>
      <c r="AJD23" s="66"/>
      <c r="AJE23" s="66"/>
      <c r="AJF23" s="66"/>
      <c r="AJG23" s="66"/>
      <c r="AJH23" s="66"/>
      <c r="AJI23" s="66"/>
      <c r="AJJ23" s="66"/>
      <c r="AJK23" s="66"/>
      <c r="AJL23" s="66"/>
      <c r="AJM23" s="66"/>
      <c r="AJN23" s="66"/>
      <c r="AJO23" s="66"/>
      <c r="AJP23" s="66"/>
      <c r="AJQ23" s="66"/>
      <c r="AJR23" s="66"/>
      <c r="AJS23" s="66"/>
      <c r="AJT23" s="66"/>
      <c r="AJU23" s="66"/>
      <c r="AJV23" s="66"/>
      <c r="AJW23" s="66"/>
      <c r="AJX23" s="66"/>
      <c r="AJY23" s="66"/>
      <c r="AJZ23" s="66"/>
      <c r="AKA23" s="66"/>
      <c r="AKB23" s="66"/>
      <c r="AKC23" s="66"/>
      <c r="AKD23" s="66"/>
      <c r="AKE23" s="66"/>
      <c r="AKF23" s="66"/>
      <c r="AKG23" s="66"/>
      <c r="AKH23" s="66"/>
      <c r="AKI23" s="66"/>
      <c r="AKJ23" s="66"/>
      <c r="AKK23" s="66"/>
      <c r="AKL23" s="66"/>
      <c r="AKM23" s="66"/>
      <c r="AKN23" s="66"/>
      <c r="AKO23" s="66"/>
      <c r="AKP23" s="66"/>
      <c r="AKQ23" s="66"/>
      <c r="AKR23" s="66"/>
      <c r="AKS23" s="66"/>
      <c r="AKT23" s="66"/>
      <c r="AKU23" s="66"/>
      <c r="AKV23" s="66"/>
      <c r="AKW23" s="66"/>
      <c r="AKX23" s="66"/>
      <c r="AKY23" s="66"/>
      <c r="AKZ23" s="66"/>
      <c r="ALA23" s="66"/>
      <c r="ALB23" s="66"/>
      <c r="ALC23" s="66"/>
      <c r="ALD23" s="66"/>
      <c r="ALE23" s="66"/>
      <c r="ALF23" s="66"/>
      <c r="ALG23" s="66"/>
      <c r="ALH23" s="66"/>
      <c r="ALI23" s="66"/>
      <c r="ALJ23" s="66"/>
      <c r="ALK23" s="66"/>
    </row>
    <row r="24" spans="2:999" s="67" customFormat="1" ht="13.5" customHeight="1" x14ac:dyDescent="0.25">
      <c r="B24" s="30" t="s">
        <v>182</v>
      </c>
      <c r="C24" s="30" t="s">
        <v>181</v>
      </c>
      <c r="D24" s="30" t="s">
        <v>168</v>
      </c>
      <c r="E24" s="41"/>
      <c r="F24" s="68">
        <v>7.400000000000001E-2</v>
      </c>
      <c r="G24" s="68">
        <v>0</v>
      </c>
      <c r="H24" s="68">
        <v>0</v>
      </c>
      <c r="I24" s="68">
        <v>2.8000000000000001E-2</v>
      </c>
      <c r="J24" s="68">
        <v>5.1000000000000004E-2</v>
      </c>
      <c r="K24" s="68">
        <v>0</v>
      </c>
      <c r="L24" s="41">
        <v>0</v>
      </c>
      <c r="M24" s="63"/>
      <c r="N24" s="64"/>
      <c r="O24" s="64"/>
      <c r="P24" s="64"/>
      <c r="Q24" s="64"/>
      <c r="R24" s="64"/>
      <c r="S24" s="75"/>
      <c r="T24" s="75"/>
      <c r="U24" s="36"/>
      <c r="V24" s="65">
        <v>0.47399999999999998</v>
      </c>
      <c r="W24" s="65"/>
      <c r="X24" s="65"/>
      <c r="Y24" s="65">
        <v>4.7E-2</v>
      </c>
      <c r="Z24" s="65">
        <v>0.155</v>
      </c>
      <c r="AA24" s="65"/>
      <c r="AB24" s="3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  <c r="FO24" s="66"/>
      <c r="FP24" s="66"/>
      <c r="FQ24" s="66"/>
      <c r="FR24" s="66"/>
      <c r="FS24" s="66"/>
      <c r="FT24" s="66"/>
      <c r="FU24" s="66"/>
      <c r="FV24" s="66"/>
      <c r="FW24" s="66"/>
      <c r="FX24" s="66"/>
      <c r="FY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  <c r="HF24" s="66"/>
      <c r="HG24" s="66"/>
      <c r="HH24" s="66"/>
      <c r="HI24" s="66"/>
      <c r="HJ24" s="66"/>
      <c r="HK24" s="66"/>
      <c r="HL24" s="66"/>
      <c r="HM24" s="66"/>
      <c r="HN24" s="66"/>
      <c r="HO24" s="66"/>
      <c r="HP24" s="66"/>
      <c r="HQ24" s="66"/>
      <c r="HR24" s="66"/>
      <c r="HS24" s="66"/>
      <c r="HT24" s="66"/>
      <c r="HU24" s="66"/>
      <c r="HV24" s="66"/>
      <c r="HW24" s="66"/>
      <c r="HX24" s="66"/>
      <c r="HY24" s="66"/>
      <c r="HZ24" s="66"/>
      <c r="IA24" s="66"/>
      <c r="IB24" s="66"/>
      <c r="IC24" s="66"/>
      <c r="ID24" s="66"/>
      <c r="IE24" s="66"/>
      <c r="IF24" s="66"/>
      <c r="IG24" s="66"/>
      <c r="IH24" s="66"/>
      <c r="II24" s="66"/>
      <c r="IJ24" s="66"/>
      <c r="IK24" s="66"/>
      <c r="IL24" s="66"/>
      <c r="IM24" s="66"/>
      <c r="IN24" s="66"/>
      <c r="IO24" s="66"/>
      <c r="IP24" s="66"/>
      <c r="IQ24" s="66"/>
      <c r="IR24" s="66"/>
      <c r="IS24" s="66"/>
      <c r="IT24" s="66"/>
      <c r="IU24" s="66"/>
      <c r="IV24" s="66"/>
      <c r="IW24" s="66"/>
      <c r="IX24" s="66"/>
      <c r="IY24" s="66"/>
      <c r="IZ24" s="66"/>
      <c r="JA24" s="66"/>
      <c r="JB24" s="66"/>
      <c r="JC24" s="66"/>
      <c r="JD24" s="66"/>
      <c r="JE24" s="66"/>
      <c r="JF24" s="66"/>
      <c r="JG24" s="66"/>
      <c r="JH24" s="66"/>
      <c r="JI24" s="66"/>
      <c r="JJ24" s="66"/>
      <c r="JK24" s="66"/>
      <c r="JL24" s="66"/>
      <c r="JM24" s="66"/>
      <c r="JN24" s="66"/>
      <c r="JO24" s="66"/>
      <c r="JP24" s="66"/>
      <c r="JQ24" s="66"/>
      <c r="JR24" s="66"/>
      <c r="JS24" s="66"/>
      <c r="JT24" s="66"/>
      <c r="JU24" s="66"/>
      <c r="JV24" s="66"/>
      <c r="JW24" s="66"/>
      <c r="JX24" s="66"/>
      <c r="JY24" s="66"/>
      <c r="JZ24" s="66"/>
      <c r="KA24" s="66"/>
      <c r="KB24" s="66"/>
      <c r="KC24" s="66"/>
      <c r="KD24" s="66"/>
      <c r="KE24" s="66"/>
      <c r="KF24" s="66"/>
      <c r="KG24" s="66"/>
      <c r="KH24" s="66"/>
      <c r="KI24" s="66"/>
      <c r="KJ24" s="66"/>
      <c r="KK24" s="66"/>
      <c r="KL24" s="66"/>
      <c r="KM24" s="66"/>
      <c r="KN24" s="66"/>
      <c r="KO24" s="66"/>
      <c r="KP24" s="66"/>
      <c r="KQ24" s="66"/>
      <c r="KR24" s="66"/>
      <c r="KS24" s="66"/>
      <c r="KT24" s="66"/>
      <c r="KU24" s="66"/>
      <c r="KV24" s="66"/>
      <c r="KW24" s="66"/>
      <c r="KX24" s="66"/>
      <c r="KY24" s="66"/>
      <c r="KZ24" s="66"/>
      <c r="LA24" s="66"/>
      <c r="LB24" s="66"/>
      <c r="LC24" s="66"/>
      <c r="LD24" s="66"/>
      <c r="LE24" s="66"/>
      <c r="LF24" s="66"/>
      <c r="LG24" s="66"/>
      <c r="LH24" s="66"/>
      <c r="LI24" s="66"/>
      <c r="LJ24" s="66"/>
      <c r="LK24" s="66"/>
      <c r="LL24" s="66"/>
      <c r="LM24" s="66"/>
      <c r="LN24" s="66"/>
      <c r="LO24" s="66"/>
      <c r="LP24" s="66"/>
      <c r="LQ24" s="66"/>
      <c r="LR24" s="66"/>
      <c r="LS24" s="66"/>
      <c r="LT24" s="66"/>
      <c r="LU24" s="66"/>
      <c r="LV24" s="66"/>
      <c r="LW24" s="66"/>
      <c r="LX24" s="66"/>
      <c r="LY24" s="66"/>
      <c r="LZ24" s="66"/>
      <c r="MA24" s="66"/>
      <c r="MB24" s="66"/>
      <c r="MC24" s="66"/>
      <c r="MD24" s="66"/>
      <c r="ME24" s="66"/>
      <c r="MF24" s="66"/>
      <c r="MG24" s="66"/>
      <c r="MH24" s="66"/>
      <c r="MI24" s="66"/>
      <c r="MJ24" s="66"/>
      <c r="MK24" s="66"/>
      <c r="ML24" s="66"/>
      <c r="MM24" s="66"/>
      <c r="MN24" s="66"/>
      <c r="MO24" s="66"/>
      <c r="MP24" s="66"/>
      <c r="MQ24" s="66"/>
      <c r="MR24" s="66"/>
      <c r="MS24" s="66"/>
      <c r="MT24" s="66"/>
      <c r="MU24" s="66"/>
      <c r="MV24" s="66"/>
      <c r="MW24" s="66"/>
      <c r="MX24" s="66"/>
      <c r="MY24" s="66"/>
      <c r="MZ24" s="66"/>
      <c r="NA24" s="66"/>
      <c r="NB24" s="66"/>
      <c r="NC24" s="66"/>
      <c r="ND24" s="66"/>
      <c r="NE24" s="66"/>
      <c r="NF24" s="66"/>
      <c r="NG24" s="66"/>
      <c r="NH24" s="66"/>
      <c r="NI24" s="66"/>
      <c r="NJ24" s="66"/>
      <c r="NK24" s="66"/>
      <c r="NL24" s="66"/>
      <c r="NM24" s="66"/>
      <c r="NN24" s="66"/>
      <c r="NO24" s="66"/>
      <c r="NP24" s="66"/>
      <c r="NQ24" s="66"/>
      <c r="NR24" s="66"/>
      <c r="NS24" s="66"/>
      <c r="NT24" s="66"/>
      <c r="NU24" s="66"/>
      <c r="NV24" s="66"/>
      <c r="NW24" s="66"/>
      <c r="NX24" s="66"/>
      <c r="NY24" s="66"/>
      <c r="NZ24" s="66"/>
      <c r="OA24" s="66"/>
      <c r="OB24" s="66"/>
      <c r="OC24" s="66"/>
      <c r="OD24" s="66"/>
      <c r="OE24" s="66"/>
      <c r="OF24" s="66"/>
      <c r="OG24" s="66"/>
      <c r="OH24" s="66"/>
      <c r="OI24" s="66"/>
      <c r="OJ24" s="66"/>
      <c r="OK24" s="66"/>
      <c r="OL24" s="66"/>
      <c r="OM24" s="66"/>
      <c r="ON24" s="66"/>
      <c r="OO24" s="66"/>
      <c r="OP24" s="66"/>
      <c r="OQ24" s="66"/>
      <c r="OR24" s="66"/>
      <c r="OS24" s="66"/>
      <c r="OT24" s="66"/>
      <c r="OU24" s="66"/>
      <c r="OV24" s="66"/>
      <c r="OW24" s="66"/>
      <c r="OX24" s="66"/>
      <c r="OY24" s="66"/>
      <c r="OZ24" s="66"/>
      <c r="PA24" s="66"/>
      <c r="PB24" s="66"/>
      <c r="PC24" s="66"/>
      <c r="PD24" s="66"/>
      <c r="PE24" s="66"/>
      <c r="PF24" s="66"/>
      <c r="PG24" s="66"/>
      <c r="PH24" s="66"/>
      <c r="PI24" s="66"/>
      <c r="PJ24" s="66"/>
      <c r="PK24" s="66"/>
      <c r="PL24" s="66"/>
      <c r="PM24" s="66"/>
      <c r="PN24" s="66"/>
      <c r="PO24" s="66"/>
      <c r="PP24" s="66"/>
      <c r="PQ24" s="66"/>
      <c r="PR24" s="66"/>
      <c r="PS24" s="66"/>
      <c r="PT24" s="66"/>
      <c r="PU24" s="66"/>
      <c r="PV24" s="66"/>
      <c r="PW24" s="66"/>
      <c r="PX24" s="66"/>
      <c r="PY24" s="66"/>
      <c r="PZ24" s="66"/>
      <c r="QA24" s="66"/>
      <c r="QB24" s="66"/>
      <c r="QC24" s="66"/>
      <c r="QD24" s="66"/>
      <c r="QE24" s="66"/>
      <c r="QF24" s="66"/>
      <c r="QG24" s="66"/>
      <c r="QH24" s="66"/>
      <c r="QI24" s="66"/>
      <c r="QJ24" s="66"/>
      <c r="QK24" s="66"/>
      <c r="QL24" s="66"/>
      <c r="QM24" s="66"/>
      <c r="QN24" s="66"/>
      <c r="QO24" s="66"/>
      <c r="QP24" s="66"/>
      <c r="QQ24" s="66"/>
      <c r="QR24" s="66"/>
      <c r="QS24" s="66"/>
      <c r="QT24" s="66"/>
      <c r="QU24" s="66"/>
      <c r="QV24" s="66"/>
      <c r="QW24" s="66"/>
      <c r="QX24" s="66"/>
      <c r="QY24" s="66"/>
      <c r="QZ24" s="66"/>
      <c r="RA24" s="66"/>
      <c r="RB24" s="66"/>
      <c r="RC24" s="66"/>
      <c r="RD24" s="66"/>
      <c r="RE24" s="66"/>
      <c r="RF24" s="66"/>
      <c r="RG24" s="66"/>
      <c r="RH24" s="66"/>
      <c r="RI24" s="66"/>
      <c r="RJ24" s="66"/>
      <c r="RK24" s="66"/>
      <c r="RL24" s="66"/>
      <c r="RM24" s="66"/>
      <c r="RN24" s="66"/>
      <c r="RO24" s="66"/>
      <c r="RP24" s="66"/>
      <c r="RQ24" s="66"/>
      <c r="RR24" s="66"/>
      <c r="RS24" s="66"/>
      <c r="RT24" s="66"/>
      <c r="RU24" s="66"/>
      <c r="RV24" s="66"/>
      <c r="RW24" s="66"/>
      <c r="RX24" s="66"/>
      <c r="RY24" s="66"/>
      <c r="RZ24" s="66"/>
      <c r="SA24" s="66"/>
      <c r="SB24" s="66"/>
      <c r="SC24" s="66"/>
      <c r="SD24" s="66"/>
      <c r="SE24" s="66"/>
      <c r="SF24" s="66"/>
      <c r="SG24" s="66"/>
      <c r="SH24" s="66"/>
      <c r="SI24" s="66"/>
      <c r="SJ24" s="66"/>
      <c r="SK24" s="66"/>
      <c r="SL24" s="66"/>
      <c r="SM24" s="66"/>
      <c r="SN24" s="66"/>
      <c r="SO24" s="66"/>
      <c r="SP24" s="66"/>
      <c r="SQ24" s="66"/>
      <c r="SR24" s="66"/>
      <c r="SS24" s="66"/>
      <c r="ST24" s="66"/>
      <c r="SU24" s="66"/>
      <c r="SV24" s="66"/>
      <c r="SW24" s="66"/>
      <c r="SX24" s="66"/>
      <c r="SY24" s="66"/>
      <c r="SZ24" s="66"/>
      <c r="TA24" s="66"/>
      <c r="TB24" s="66"/>
      <c r="TC24" s="66"/>
      <c r="TD24" s="66"/>
      <c r="TE24" s="66"/>
      <c r="TF24" s="66"/>
      <c r="TG24" s="66"/>
      <c r="TH24" s="66"/>
      <c r="TI24" s="66"/>
      <c r="TJ24" s="66"/>
      <c r="TK24" s="66"/>
      <c r="TL24" s="66"/>
      <c r="TM24" s="66"/>
      <c r="TN24" s="66"/>
      <c r="TO24" s="66"/>
      <c r="TP24" s="66"/>
      <c r="TQ24" s="66"/>
      <c r="TR24" s="66"/>
      <c r="TS24" s="66"/>
      <c r="TT24" s="66"/>
      <c r="TU24" s="66"/>
      <c r="TV24" s="66"/>
      <c r="TW24" s="66"/>
      <c r="TX24" s="66"/>
      <c r="TY24" s="66"/>
      <c r="TZ24" s="66"/>
      <c r="UA24" s="66"/>
      <c r="UB24" s="66"/>
      <c r="UC24" s="66"/>
      <c r="UD24" s="66"/>
      <c r="UE24" s="66"/>
      <c r="UF24" s="66"/>
      <c r="UG24" s="66"/>
      <c r="UH24" s="66"/>
      <c r="UI24" s="66"/>
      <c r="UJ24" s="66"/>
      <c r="UK24" s="66"/>
      <c r="UL24" s="66"/>
      <c r="UM24" s="66"/>
      <c r="UN24" s="66"/>
      <c r="UO24" s="66"/>
      <c r="UP24" s="66"/>
      <c r="UQ24" s="66"/>
      <c r="UR24" s="66"/>
      <c r="US24" s="66"/>
      <c r="UT24" s="66"/>
      <c r="UU24" s="66"/>
      <c r="UV24" s="66"/>
      <c r="UW24" s="66"/>
      <c r="UX24" s="66"/>
      <c r="UY24" s="66"/>
      <c r="UZ24" s="66"/>
      <c r="VA24" s="66"/>
      <c r="VB24" s="66"/>
      <c r="VC24" s="66"/>
      <c r="VD24" s="66"/>
      <c r="VE24" s="66"/>
      <c r="VF24" s="66"/>
      <c r="VG24" s="66"/>
      <c r="VH24" s="66"/>
      <c r="VI24" s="66"/>
      <c r="VJ24" s="66"/>
      <c r="VK24" s="66"/>
      <c r="VL24" s="66"/>
      <c r="VM24" s="66"/>
      <c r="VN24" s="66"/>
      <c r="VO24" s="66"/>
      <c r="VP24" s="66"/>
      <c r="VQ24" s="66"/>
      <c r="VR24" s="66"/>
      <c r="VS24" s="66"/>
      <c r="VT24" s="66"/>
      <c r="VU24" s="66"/>
      <c r="VV24" s="66"/>
      <c r="VW24" s="66"/>
      <c r="VX24" s="66"/>
      <c r="VY24" s="66"/>
      <c r="VZ24" s="66"/>
      <c r="WA24" s="66"/>
      <c r="WB24" s="66"/>
      <c r="WC24" s="66"/>
      <c r="WD24" s="66"/>
      <c r="WE24" s="66"/>
      <c r="WF24" s="66"/>
      <c r="WG24" s="66"/>
      <c r="WH24" s="66"/>
      <c r="WI24" s="66"/>
      <c r="WJ24" s="66"/>
      <c r="WK24" s="66"/>
      <c r="WL24" s="66"/>
      <c r="WM24" s="66"/>
      <c r="WN24" s="66"/>
      <c r="WO24" s="66"/>
      <c r="WP24" s="66"/>
      <c r="WQ24" s="66"/>
      <c r="WR24" s="66"/>
      <c r="WS24" s="66"/>
      <c r="WT24" s="66"/>
      <c r="WU24" s="66"/>
      <c r="WV24" s="66"/>
      <c r="WW24" s="66"/>
      <c r="WX24" s="66"/>
      <c r="WY24" s="66"/>
      <c r="WZ24" s="66"/>
      <c r="XA24" s="66"/>
      <c r="XB24" s="66"/>
      <c r="XC24" s="66"/>
      <c r="XD24" s="66"/>
      <c r="XE24" s="66"/>
      <c r="XF24" s="66"/>
      <c r="XG24" s="66"/>
      <c r="XH24" s="66"/>
      <c r="XI24" s="66"/>
      <c r="XJ24" s="66"/>
      <c r="XK24" s="66"/>
      <c r="XL24" s="66"/>
      <c r="XM24" s="66"/>
      <c r="XN24" s="66"/>
      <c r="XO24" s="66"/>
      <c r="XP24" s="66"/>
      <c r="XQ24" s="66"/>
      <c r="XR24" s="66"/>
      <c r="XS24" s="66"/>
      <c r="XT24" s="66"/>
      <c r="XU24" s="66"/>
      <c r="XV24" s="66"/>
      <c r="XW24" s="66"/>
      <c r="XX24" s="66"/>
      <c r="XY24" s="66"/>
      <c r="XZ24" s="66"/>
      <c r="YA24" s="66"/>
      <c r="YB24" s="66"/>
      <c r="YC24" s="66"/>
      <c r="YD24" s="66"/>
      <c r="YE24" s="66"/>
      <c r="YF24" s="66"/>
      <c r="YG24" s="66"/>
      <c r="YH24" s="66"/>
      <c r="YI24" s="66"/>
      <c r="YJ24" s="66"/>
      <c r="YK24" s="66"/>
      <c r="YL24" s="66"/>
      <c r="YM24" s="66"/>
      <c r="YN24" s="66"/>
      <c r="YO24" s="66"/>
      <c r="YP24" s="66"/>
      <c r="YQ24" s="66"/>
      <c r="YR24" s="66"/>
      <c r="YS24" s="66"/>
      <c r="YT24" s="66"/>
      <c r="YU24" s="66"/>
      <c r="YV24" s="66"/>
      <c r="YW24" s="66"/>
      <c r="YX24" s="66"/>
      <c r="YY24" s="66"/>
      <c r="YZ24" s="66"/>
      <c r="ZA24" s="66"/>
      <c r="ZB24" s="66"/>
      <c r="ZC24" s="66"/>
      <c r="ZD24" s="66"/>
      <c r="ZE24" s="66"/>
      <c r="ZF24" s="66"/>
      <c r="ZG24" s="66"/>
      <c r="ZH24" s="66"/>
      <c r="ZI24" s="66"/>
      <c r="ZJ24" s="66"/>
      <c r="ZK24" s="66"/>
      <c r="ZL24" s="66"/>
      <c r="ZM24" s="66"/>
      <c r="ZN24" s="66"/>
      <c r="ZO24" s="66"/>
      <c r="ZP24" s="66"/>
      <c r="ZQ24" s="66"/>
      <c r="ZR24" s="66"/>
      <c r="ZS24" s="66"/>
      <c r="ZT24" s="66"/>
      <c r="ZU24" s="66"/>
      <c r="ZV24" s="66"/>
      <c r="ZW24" s="66"/>
      <c r="ZX24" s="66"/>
      <c r="ZY24" s="66"/>
      <c r="ZZ24" s="66"/>
      <c r="AAA24" s="66"/>
      <c r="AAB24" s="66"/>
      <c r="AAC24" s="66"/>
      <c r="AAD24" s="66"/>
      <c r="AAE24" s="66"/>
      <c r="AAF24" s="66"/>
      <c r="AAG24" s="66"/>
      <c r="AAH24" s="66"/>
      <c r="AAI24" s="66"/>
      <c r="AAJ24" s="66"/>
      <c r="AAK24" s="66"/>
      <c r="AAL24" s="66"/>
      <c r="AAM24" s="66"/>
      <c r="AAN24" s="66"/>
      <c r="AAO24" s="66"/>
      <c r="AAP24" s="66"/>
      <c r="AAQ24" s="66"/>
      <c r="AAR24" s="66"/>
      <c r="AAS24" s="66"/>
      <c r="AAT24" s="66"/>
      <c r="AAU24" s="66"/>
      <c r="AAV24" s="66"/>
      <c r="AAW24" s="66"/>
      <c r="AAX24" s="66"/>
      <c r="AAY24" s="66"/>
      <c r="AAZ24" s="66"/>
      <c r="ABA24" s="66"/>
      <c r="ABB24" s="66"/>
      <c r="ABC24" s="66"/>
      <c r="ABD24" s="66"/>
      <c r="ABE24" s="66"/>
      <c r="ABF24" s="66"/>
      <c r="ABG24" s="66"/>
      <c r="ABH24" s="66"/>
      <c r="ABI24" s="66"/>
      <c r="ABJ24" s="66"/>
      <c r="ABK24" s="66"/>
      <c r="ABL24" s="66"/>
      <c r="ABM24" s="66"/>
      <c r="ABN24" s="66"/>
      <c r="ABO24" s="66"/>
      <c r="ABP24" s="66"/>
      <c r="ABQ24" s="66"/>
      <c r="ABR24" s="66"/>
      <c r="ABS24" s="66"/>
      <c r="ABT24" s="66"/>
      <c r="ABU24" s="66"/>
      <c r="ABV24" s="66"/>
      <c r="ABW24" s="66"/>
      <c r="ABX24" s="66"/>
      <c r="ABY24" s="66"/>
      <c r="ABZ24" s="66"/>
      <c r="ACA24" s="66"/>
      <c r="ACB24" s="66"/>
      <c r="ACC24" s="66"/>
      <c r="ACD24" s="66"/>
      <c r="ACE24" s="66"/>
      <c r="ACF24" s="66"/>
      <c r="ACG24" s="66"/>
      <c r="ACH24" s="66"/>
      <c r="ACI24" s="66"/>
      <c r="ACJ24" s="66"/>
      <c r="ACK24" s="66"/>
      <c r="ACL24" s="66"/>
      <c r="ACM24" s="66"/>
      <c r="ACN24" s="66"/>
      <c r="ACO24" s="66"/>
      <c r="ACP24" s="66"/>
      <c r="ACQ24" s="66"/>
      <c r="ACR24" s="66"/>
      <c r="ACS24" s="66"/>
      <c r="ACT24" s="66"/>
      <c r="ACU24" s="66"/>
      <c r="ACV24" s="66"/>
      <c r="ACW24" s="66"/>
      <c r="ACX24" s="66"/>
      <c r="ACY24" s="66"/>
      <c r="ACZ24" s="66"/>
      <c r="ADA24" s="66"/>
      <c r="ADB24" s="66"/>
      <c r="ADC24" s="66"/>
      <c r="ADD24" s="66"/>
      <c r="ADE24" s="66"/>
      <c r="ADF24" s="66"/>
      <c r="ADG24" s="66"/>
      <c r="ADH24" s="66"/>
      <c r="ADI24" s="66"/>
      <c r="ADJ24" s="66"/>
      <c r="ADK24" s="66"/>
      <c r="ADL24" s="66"/>
      <c r="ADM24" s="66"/>
      <c r="ADN24" s="66"/>
      <c r="ADO24" s="66"/>
      <c r="ADP24" s="66"/>
      <c r="ADQ24" s="66"/>
      <c r="ADR24" s="66"/>
      <c r="ADS24" s="66"/>
      <c r="ADT24" s="66"/>
      <c r="ADU24" s="66"/>
      <c r="ADV24" s="66"/>
      <c r="ADW24" s="66"/>
      <c r="ADX24" s="66"/>
      <c r="ADY24" s="66"/>
      <c r="ADZ24" s="66"/>
      <c r="AEA24" s="66"/>
      <c r="AEB24" s="66"/>
      <c r="AEC24" s="66"/>
      <c r="AED24" s="66"/>
      <c r="AEE24" s="66"/>
      <c r="AEF24" s="66"/>
      <c r="AEG24" s="66"/>
      <c r="AEH24" s="66"/>
      <c r="AEI24" s="66"/>
      <c r="AEJ24" s="66"/>
      <c r="AEK24" s="66"/>
      <c r="AEL24" s="66"/>
      <c r="AEM24" s="66"/>
      <c r="AEN24" s="66"/>
      <c r="AEO24" s="66"/>
      <c r="AEP24" s="66"/>
      <c r="AEQ24" s="66"/>
      <c r="AER24" s="66"/>
      <c r="AES24" s="66"/>
      <c r="AET24" s="66"/>
      <c r="AEU24" s="66"/>
      <c r="AEV24" s="66"/>
      <c r="AEW24" s="66"/>
      <c r="AEX24" s="66"/>
      <c r="AEY24" s="66"/>
      <c r="AEZ24" s="66"/>
      <c r="AFA24" s="66"/>
      <c r="AFB24" s="66"/>
      <c r="AFC24" s="66"/>
      <c r="AFD24" s="66"/>
      <c r="AFE24" s="66"/>
      <c r="AFF24" s="66"/>
      <c r="AFG24" s="66"/>
      <c r="AFH24" s="66"/>
      <c r="AFI24" s="66"/>
      <c r="AFJ24" s="66"/>
      <c r="AFK24" s="66"/>
      <c r="AFL24" s="66"/>
      <c r="AFM24" s="66"/>
      <c r="AFN24" s="66"/>
      <c r="AFO24" s="66"/>
      <c r="AFP24" s="66"/>
      <c r="AFQ24" s="66"/>
      <c r="AFR24" s="66"/>
      <c r="AFS24" s="66"/>
      <c r="AFT24" s="66"/>
      <c r="AFU24" s="66"/>
      <c r="AFV24" s="66"/>
      <c r="AFW24" s="66"/>
      <c r="AFX24" s="66"/>
      <c r="AFY24" s="66"/>
      <c r="AFZ24" s="66"/>
      <c r="AGA24" s="66"/>
      <c r="AGB24" s="66"/>
      <c r="AGC24" s="66"/>
      <c r="AGD24" s="66"/>
      <c r="AGE24" s="66"/>
      <c r="AGF24" s="66"/>
      <c r="AGG24" s="66"/>
      <c r="AGH24" s="66"/>
      <c r="AGI24" s="66"/>
      <c r="AGJ24" s="66"/>
      <c r="AGK24" s="66"/>
      <c r="AGL24" s="66"/>
      <c r="AGM24" s="66"/>
      <c r="AGN24" s="66"/>
      <c r="AGO24" s="66"/>
      <c r="AGP24" s="66"/>
      <c r="AGQ24" s="66"/>
      <c r="AGR24" s="66"/>
      <c r="AGS24" s="66"/>
      <c r="AGT24" s="66"/>
      <c r="AGU24" s="66"/>
      <c r="AGV24" s="66"/>
      <c r="AGW24" s="66"/>
      <c r="AGX24" s="66"/>
      <c r="AGY24" s="66"/>
      <c r="AGZ24" s="66"/>
      <c r="AHA24" s="66"/>
      <c r="AHB24" s="66"/>
      <c r="AHC24" s="66"/>
      <c r="AHD24" s="66"/>
      <c r="AHE24" s="66"/>
      <c r="AHF24" s="66"/>
      <c r="AHG24" s="66"/>
      <c r="AHH24" s="66"/>
      <c r="AHI24" s="66"/>
      <c r="AHJ24" s="66"/>
      <c r="AHK24" s="66"/>
      <c r="AHL24" s="66"/>
      <c r="AHM24" s="66"/>
      <c r="AHN24" s="66"/>
      <c r="AHO24" s="66"/>
      <c r="AHP24" s="66"/>
      <c r="AHQ24" s="66"/>
      <c r="AHR24" s="66"/>
      <c r="AHS24" s="66"/>
      <c r="AHT24" s="66"/>
      <c r="AHU24" s="66"/>
      <c r="AHV24" s="66"/>
      <c r="AHW24" s="66"/>
      <c r="AHX24" s="66"/>
      <c r="AHY24" s="66"/>
      <c r="AHZ24" s="66"/>
      <c r="AIA24" s="66"/>
      <c r="AIB24" s="66"/>
      <c r="AIC24" s="66"/>
      <c r="AID24" s="66"/>
      <c r="AIE24" s="66"/>
      <c r="AIF24" s="66"/>
      <c r="AIG24" s="66"/>
      <c r="AIH24" s="66"/>
      <c r="AII24" s="66"/>
      <c r="AIJ24" s="66"/>
      <c r="AIK24" s="66"/>
      <c r="AIL24" s="66"/>
      <c r="AIM24" s="66"/>
      <c r="AIN24" s="66"/>
      <c r="AIO24" s="66"/>
      <c r="AIP24" s="66"/>
      <c r="AIQ24" s="66"/>
      <c r="AIR24" s="66"/>
      <c r="AIS24" s="66"/>
      <c r="AIT24" s="66"/>
      <c r="AIU24" s="66"/>
      <c r="AIV24" s="66"/>
      <c r="AIW24" s="66"/>
      <c r="AIX24" s="66"/>
      <c r="AIY24" s="66"/>
      <c r="AIZ24" s="66"/>
      <c r="AJA24" s="66"/>
      <c r="AJB24" s="66"/>
      <c r="AJC24" s="66"/>
      <c r="AJD24" s="66"/>
      <c r="AJE24" s="66"/>
      <c r="AJF24" s="66"/>
      <c r="AJG24" s="66"/>
      <c r="AJH24" s="66"/>
      <c r="AJI24" s="66"/>
      <c r="AJJ24" s="66"/>
      <c r="AJK24" s="66"/>
      <c r="AJL24" s="66"/>
      <c r="AJM24" s="66"/>
      <c r="AJN24" s="66"/>
      <c r="AJO24" s="66"/>
      <c r="AJP24" s="66"/>
      <c r="AJQ24" s="66"/>
      <c r="AJR24" s="66"/>
      <c r="AJS24" s="66"/>
      <c r="AJT24" s="66"/>
      <c r="AJU24" s="66"/>
      <c r="AJV24" s="66"/>
      <c r="AJW24" s="66"/>
      <c r="AJX24" s="66"/>
      <c r="AJY24" s="66"/>
      <c r="AJZ24" s="66"/>
      <c r="AKA24" s="66"/>
      <c r="AKB24" s="66"/>
      <c r="AKC24" s="66"/>
      <c r="AKD24" s="66"/>
      <c r="AKE24" s="66"/>
      <c r="AKF24" s="66"/>
      <c r="AKG24" s="66"/>
      <c r="AKH24" s="66"/>
      <c r="AKI24" s="66"/>
      <c r="AKJ24" s="66"/>
      <c r="AKK24" s="66"/>
      <c r="AKL24" s="66"/>
      <c r="AKM24" s="66"/>
      <c r="AKN24" s="66"/>
      <c r="AKO24" s="66"/>
      <c r="AKP24" s="66"/>
      <c r="AKQ24" s="66"/>
      <c r="AKR24" s="66"/>
      <c r="AKS24" s="66"/>
      <c r="AKT24" s="66"/>
      <c r="AKU24" s="66"/>
      <c r="AKV24" s="66"/>
      <c r="AKW24" s="66"/>
      <c r="AKX24" s="66"/>
      <c r="AKY24" s="66"/>
      <c r="AKZ24" s="66"/>
      <c r="ALA24" s="66"/>
      <c r="ALB24" s="66"/>
      <c r="ALC24" s="66"/>
      <c r="ALD24" s="66"/>
      <c r="ALE24" s="66"/>
      <c r="ALF24" s="66"/>
      <c r="ALG24" s="66"/>
      <c r="ALH24" s="66"/>
      <c r="ALI24" s="66"/>
      <c r="ALJ24" s="66"/>
      <c r="ALK24" s="66"/>
    </row>
    <row r="25" spans="2:999" x14ac:dyDescent="0.25">
      <c r="B25" s="29" t="s">
        <v>182</v>
      </c>
      <c r="C25" s="8" t="s">
        <v>181</v>
      </c>
      <c r="D25" s="30" t="s">
        <v>169</v>
      </c>
      <c r="E25" s="35"/>
      <c r="F25" s="35">
        <v>0.94</v>
      </c>
      <c r="G25" s="35">
        <v>1.3120000000000001</v>
      </c>
      <c r="H25" s="35">
        <v>0</v>
      </c>
      <c r="I25" s="35">
        <v>1.7029999999999998</v>
      </c>
      <c r="J25" s="32">
        <v>2.3119999999999998</v>
      </c>
      <c r="K25" s="35">
        <v>1.002</v>
      </c>
      <c r="L25" s="35">
        <v>0</v>
      </c>
      <c r="M25" s="59"/>
      <c r="N25" s="61"/>
      <c r="O25" s="61"/>
      <c r="P25" s="61"/>
      <c r="Q25" s="61"/>
      <c r="R25" s="61"/>
      <c r="S25" s="59"/>
      <c r="T25" s="59"/>
      <c r="U25" s="23"/>
      <c r="V25" s="22">
        <v>5.6130000000000004</v>
      </c>
      <c r="W25" s="23">
        <v>3.835</v>
      </c>
      <c r="X25" s="23"/>
      <c r="Y25" s="22">
        <v>12.856</v>
      </c>
      <c r="Z25" s="22">
        <v>15.84</v>
      </c>
      <c r="AA25" s="22">
        <v>1.0009999999999999</v>
      </c>
      <c r="AB25" s="22"/>
    </row>
    <row r="26" spans="2:999" ht="13.5" customHeight="1" x14ac:dyDescent="0.25">
      <c r="B26" s="29" t="s">
        <v>182</v>
      </c>
      <c r="C26" s="8" t="s">
        <v>181</v>
      </c>
      <c r="D26" s="30" t="s">
        <v>164</v>
      </c>
      <c r="E26" s="35"/>
      <c r="F26" s="35">
        <v>0.17899999999999999</v>
      </c>
      <c r="G26" s="35">
        <v>7.0000000000000007E-2</v>
      </c>
      <c r="H26" s="35">
        <v>0</v>
      </c>
      <c r="I26" s="35">
        <v>7.0000000000000001E-3</v>
      </c>
      <c r="J26" s="35">
        <v>0.13600000000000001</v>
      </c>
      <c r="K26" s="35">
        <v>0</v>
      </c>
      <c r="L26" s="35">
        <v>0</v>
      </c>
      <c r="M26" s="59"/>
      <c r="N26" s="61"/>
      <c r="O26" s="61"/>
      <c r="P26" s="61"/>
      <c r="Q26" s="61"/>
      <c r="R26" s="61"/>
      <c r="S26" s="59"/>
      <c r="T26" s="59"/>
      <c r="U26" s="23"/>
      <c r="V26" s="22">
        <v>0.52700000000000002</v>
      </c>
      <c r="W26" s="22">
        <v>0.107</v>
      </c>
      <c r="X26" s="22"/>
      <c r="Y26" s="22">
        <v>0.247</v>
      </c>
      <c r="Z26" s="22">
        <v>6.7000000000000004E-2</v>
      </c>
      <c r="AA26" s="22">
        <v>6.3E-2</v>
      </c>
      <c r="AB26" s="23"/>
    </row>
    <row r="27" spans="2:999" x14ac:dyDescent="0.25">
      <c r="B27" s="29" t="s">
        <v>182</v>
      </c>
      <c r="C27" s="8" t="s">
        <v>181</v>
      </c>
      <c r="D27" s="30" t="s">
        <v>170</v>
      </c>
      <c r="E27" s="26"/>
      <c r="F27" s="35">
        <v>1.3380000000000001</v>
      </c>
      <c r="G27" s="35">
        <v>0.434</v>
      </c>
      <c r="H27" s="35">
        <v>0</v>
      </c>
      <c r="I27" s="35">
        <v>1.544</v>
      </c>
      <c r="J27" s="32">
        <v>1.913</v>
      </c>
      <c r="K27" s="35">
        <v>0.79300000000000004</v>
      </c>
      <c r="L27" s="35">
        <v>0</v>
      </c>
      <c r="M27" s="59"/>
      <c r="N27" s="61"/>
      <c r="O27" s="61"/>
      <c r="P27" s="61"/>
      <c r="Q27" s="61"/>
      <c r="R27" s="61"/>
      <c r="S27" s="59"/>
      <c r="T27" s="59"/>
      <c r="U27" s="23"/>
      <c r="V27" s="22">
        <v>2.5550000000000002</v>
      </c>
      <c r="W27" s="22">
        <v>1.41</v>
      </c>
      <c r="X27" s="23"/>
      <c r="Y27" s="23">
        <v>2.8559999999999999</v>
      </c>
      <c r="Z27" s="23">
        <v>6.0910000000000002</v>
      </c>
      <c r="AA27" s="23">
        <v>1.4450000000000001</v>
      </c>
      <c r="AB27" s="22"/>
    </row>
    <row r="28" spans="2:999" ht="13.5" customHeight="1" x14ac:dyDescent="0.25">
      <c r="B28" s="29" t="s">
        <v>182</v>
      </c>
      <c r="C28" s="23" t="s">
        <v>181</v>
      </c>
      <c r="D28" s="36" t="s">
        <v>178</v>
      </c>
      <c r="E28" s="27"/>
      <c r="F28" s="33">
        <v>0.153</v>
      </c>
      <c r="G28" s="33">
        <v>2.4E-2</v>
      </c>
      <c r="H28" s="33">
        <v>0</v>
      </c>
      <c r="I28" s="33">
        <v>3.4000000000000002E-2</v>
      </c>
      <c r="J28" s="28">
        <v>4.3999999999999997E-2</v>
      </c>
      <c r="K28" s="28">
        <v>0</v>
      </c>
      <c r="L28" s="35">
        <v>0</v>
      </c>
      <c r="M28" s="59"/>
      <c r="N28" s="61"/>
      <c r="O28" s="61"/>
      <c r="P28" s="61"/>
      <c r="Q28" s="61"/>
      <c r="R28" s="61"/>
      <c r="S28" s="59"/>
      <c r="T28" s="59"/>
      <c r="U28" s="23"/>
      <c r="V28" s="22">
        <v>0.52900000000000003</v>
      </c>
      <c r="W28" s="22">
        <v>7.0999999999999994E-2</v>
      </c>
      <c r="X28" s="22"/>
      <c r="Y28" s="22">
        <v>0.129</v>
      </c>
      <c r="Z28" s="25">
        <v>0.04</v>
      </c>
      <c r="AA28" s="22"/>
      <c r="AB28" s="23"/>
    </row>
    <row r="29" spans="2:999" x14ac:dyDescent="0.25">
      <c r="B29" s="29" t="s">
        <v>182</v>
      </c>
      <c r="C29" s="8" t="s">
        <v>181</v>
      </c>
      <c r="D29" s="30" t="s">
        <v>171</v>
      </c>
      <c r="E29" s="26"/>
      <c r="F29" s="38">
        <v>0.64900000000000002</v>
      </c>
      <c r="G29" s="38">
        <v>0</v>
      </c>
      <c r="H29" s="38">
        <v>0</v>
      </c>
      <c r="I29" s="35">
        <v>0.57399999999999995</v>
      </c>
      <c r="J29" s="35">
        <v>0.157</v>
      </c>
      <c r="K29" s="35">
        <v>4.2000000000000003E-2</v>
      </c>
      <c r="L29" s="35">
        <v>0</v>
      </c>
      <c r="M29" s="59"/>
      <c r="N29" s="61"/>
      <c r="O29" s="61"/>
      <c r="P29" s="61"/>
      <c r="Q29" s="61"/>
      <c r="R29" s="61"/>
      <c r="S29" s="59"/>
      <c r="T29" s="59"/>
      <c r="U29" s="23"/>
      <c r="V29" s="22">
        <v>0.89700000000000002</v>
      </c>
      <c r="W29" s="23"/>
      <c r="X29" s="23"/>
      <c r="Y29" s="23">
        <v>3.4969999999999999</v>
      </c>
      <c r="Z29" s="23">
        <v>3.2839999999999998</v>
      </c>
      <c r="AA29" s="22">
        <v>0.76300000000000001</v>
      </c>
      <c r="AB29" s="23"/>
    </row>
    <row r="30" spans="2:999" ht="13.5" customHeight="1" x14ac:dyDescent="0.25">
      <c r="B30" s="29" t="s">
        <v>182</v>
      </c>
      <c r="C30" s="8" t="s">
        <v>181</v>
      </c>
      <c r="D30" s="30" t="s">
        <v>158</v>
      </c>
      <c r="E30" s="35"/>
      <c r="F30" s="35">
        <v>1.0999999999999999E-2</v>
      </c>
      <c r="G30" s="35">
        <v>0</v>
      </c>
      <c r="H30" s="35">
        <v>0</v>
      </c>
      <c r="I30" s="35">
        <v>0</v>
      </c>
      <c r="J30" s="35">
        <v>1.2E-2</v>
      </c>
      <c r="K30" s="35">
        <v>0</v>
      </c>
      <c r="L30" s="35">
        <v>0</v>
      </c>
      <c r="M30" s="59"/>
      <c r="N30" s="61"/>
      <c r="O30" s="61"/>
      <c r="P30" s="61"/>
      <c r="Q30" s="61"/>
      <c r="R30" s="61"/>
      <c r="S30" s="59"/>
      <c r="T30" s="59"/>
      <c r="U30" s="23"/>
      <c r="V30" s="22">
        <v>1.4E-2</v>
      </c>
      <c r="W30" s="22"/>
      <c r="X30" s="22"/>
      <c r="Y30" s="22"/>
      <c r="Z30" s="22">
        <v>1.6E-2</v>
      </c>
      <c r="AA30" s="22"/>
      <c r="AB30" s="23"/>
    </row>
    <row r="31" spans="2:999" x14ac:dyDescent="0.25">
      <c r="B31" s="29" t="s">
        <v>182</v>
      </c>
      <c r="C31" s="8" t="s">
        <v>181</v>
      </c>
      <c r="D31" s="30" t="s">
        <v>172</v>
      </c>
      <c r="E31" s="26"/>
      <c r="F31" s="35">
        <v>0.83799999999999997</v>
      </c>
      <c r="G31" s="35">
        <v>0</v>
      </c>
      <c r="H31" s="35">
        <v>0</v>
      </c>
      <c r="I31" s="35">
        <v>0.497</v>
      </c>
      <c r="J31" s="35">
        <v>0.63700000000000001</v>
      </c>
      <c r="K31" s="35">
        <v>0</v>
      </c>
      <c r="L31" s="41">
        <v>0</v>
      </c>
      <c r="M31" s="62"/>
      <c r="N31" s="61"/>
      <c r="O31" s="61"/>
      <c r="P31" s="61"/>
      <c r="Q31" s="61"/>
      <c r="R31" s="61"/>
      <c r="S31" s="59"/>
      <c r="T31" s="59"/>
      <c r="U31" s="23"/>
      <c r="V31" s="22">
        <v>1.3080000000000001</v>
      </c>
      <c r="W31" s="23">
        <v>0.14199999999999999</v>
      </c>
      <c r="X31" s="23"/>
      <c r="Y31" s="23">
        <v>4.4249999999999998</v>
      </c>
      <c r="Z31" s="23">
        <v>2.1360000000000001</v>
      </c>
      <c r="AA31" s="23"/>
      <c r="AB31" s="23"/>
    </row>
    <row r="32" spans="2:999" ht="13.5" customHeight="1" x14ac:dyDescent="0.25">
      <c r="B32" s="29" t="s">
        <v>182</v>
      </c>
      <c r="C32" s="29" t="s">
        <v>181</v>
      </c>
      <c r="D32" s="30" t="s">
        <v>158</v>
      </c>
      <c r="E32" s="35"/>
      <c r="F32" s="35">
        <v>7.0999999999999994E-2</v>
      </c>
      <c r="G32" s="35">
        <v>0</v>
      </c>
      <c r="H32" s="35">
        <v>0</v>
      </c>
      <c r="I32" s="35">
        <v>2.9000000000000001E-2</v>
      </c>
      <c r="J32" s="35">
        <v>1.4999999999999999E-2</v>
      </c>
      <c r="K32" s="35">
        <v>0</v>
      </c>
      <c r="L32" s="35">
        <v>0</v>
      </c>
      <c r="M32" s="62"/>
      <c r="N32" s="61"/>
      <c r="O32" s="61"/>
      <c r="P32" s="61"/>
      <c r="Q32" s="61"/>
      <c r="R32" s="61"/>
      <c r="S32" s="59"/>
      <c r="T32" s="59"/>
      <c r="U32" s="23"/>
      <c r="V32" s="22">
        <v>7.9000000000000001E-2</v>
      </c>
      <c r="W32" s="22">
        <v>1.9E-2</v>
      </c>
      <c r="X32" s="22"/>
      <c r="Y32" s="22">
        <v>4.8000000000000001E-2</v>
      </c>
      <c r="Z32" s="22">
        <v>0.04</v>
      </c>
      <c r="AA32" s="22"/>
      <c r="AB32" s="23"/>
    </row>
    <row r="33" spans="2:28" x14ac:dyDescent="0.25">
      <c r="B33" s="29" t="s">
        <v>182</v>
      </c>
      <c r="C33" s="8" t="s">
        <v>183</v>
      </c>
      <c r="D33" s="30" t="s">
        <v>173</v>
      </c>
      <c r="E33" s="26"/>
      <c r="F33" s="35">
        <v>2.2590000000000003</v>
      </c>
      <c r="G33" s="35">
        <v>0.69000000000000006</v>
      </c>
      <c r="H33" s="35">
        <v>0.10299999999999999</v>
      </c>
      <c r="I33" s="35">
        <v>2.6909999999999998</v>
      </c>
      <c r="J33" s="35">
        <v>2.0259999999999998</v>
      </c>
      <c r="K33" s="35">
        <v>2.7389999999999999</v>
      </c>
      <c r="L33" s="35">
        <v>0</v>
      </c>
      <c r="M33" s="62"/>
      <c r="N33" s="61">
        <v>0.22900000000000001</v>
      </c>
      <c r="O33" s="61">
        <v>1.018</v>
      </c>
      <c r="P33" s="61"/>
      <c r="Q33" s="61">
        <v>0.30299999999999999</v>
      </c>
      <c r="R33" s="61">
        <v>0.112</v>
      </c>
      <c r="S33" s="59"/>
      <c r="T33" s="59"/>
      <c r="U33" s="23"/>
      <c r="V33" s="50">
        <v>3.0070000000000001</v>
      </c>
      <c r="W33" s="51">
        <v>2.4969999999999999</v>
      </c>
      <c r="X33" s="51">
        <v>0</v>
      </c>
      <c r="Y33" s="50">
        <v>11.798999999999999</v>
      </c>
      <c r="Z33" s="51">
        <v>10.554</v>
      </c>
      <c r="AA33" s="51">
        <v>2.6480000000000001</v>
      </c>
      <c r="AB33" s="22"/>
    </row>
    <row r="34" spans="2:28" ht="13.5" customHeight="1" x14ac:dyDescent="0.25">
      <c r="B34" s="29" t="s">
        <v>182</v>
      </c>
      <c r="C34" s="8" t="s">
        <v>181</v>
      </c>
      <c r="D34" s="30" t="s">
        <v>206</v>
      </c>
      <c r="E34" s="35"/>
      <c r="F34" s="38">
        <v>0.27800000000000002</v>
      </c>
      <c r="G34" s="38">
        <v>0.25700000000000001</v>
      </c>
      <c r="H34" s="38">
        <v>0</v>
      </c>
      <c r="I34" s="38">
        <v>0.23900000000000002</v>
      </c>
      <c r="J34" s="38">
        <v>0.27600000000000002</v>
      </c>
      <c r="K34" s="35">
        <v>0</v>
      </c>
      <c r="L34" s="35">
        <v>0</v>
      </c>
      <c r="M34" s="62"/>
      <c r="N34" s="59"/>
      <c r="O34" s="59"/>
      <c r="P34" s="59"/>
      <c r="Q34" s="59"/>
      <c r="R34" s="59"/>
      <c r="S34" s="59"/>
      <c r="T34" s="59"/>
      <c r="U34" s="23"/>
      <c r="V34" s="52">
        <v>0.17</v>
      </c>
      <c r="W34" s="52">
        <v>0.13100000000000001</v>
      </c>
      <c r="X34" s="52">
        <v>0</v>
      </c>
      <c r="Y34" s="52">
        <v>7.4999999999999997E-2</v>
      </c>
      <c r="Z34" s="52"/>
      <c r="AA34" s="22">
        <v>6.2E-2</v>
      </c>
      <c r="AB34" s="23"/>
    </row>
    <row r="35" spans="2:28" x14ac:dyDescent="0.25">
      <c r="B35" s="29" t="s">
        <v>182</v>
      </c>
      <c r="C35" s="8" t="s">
        <v>181</v>
      </c>
      <c r="D35" s="30" t="s">
        <v>174</v>
      </c>
      <c r="E35" s="35"/>
      <c r="F35" s="35">
        <v>2.0329999999999999</v>
      </c>
      <c r="G35" s="35">
        <v>0</v>
      </c>
      <c r="H35" s="35">
        <v>0</v>
      </c>
      <c r="I35" s="35">
        <v>1.3080000000000001</v>
      </c>
      <c r="J35" s="35">
        <v>5.3819999999999997</v>
      </c>
      <c r="K35" s="35">
        <v>0</v>
      </c>
      <c r="L35" s="35">
        <v>0</v>
      </c>
      <c r="M35" s="62"/>
      <c r="N35" s="59"/>
      <c r="O35" s="59"/>
      <c r="P35" s="59"/>
      <c r="Q35" s="59"/>
      <c r="R35" s="59"/>
      <c r="S35" s="59"/>
      <c r="T35" s="59"/>
      <c r="U35" s="23"/>
      <c r="V35" s="22">
        <v>5.2519999999999998</v>
      </c>
      <c r="W35" s="23"/>
      <c r="X35" s="23"/>
      <c r="Y35" s="22">
        <v>32.777000000000001</v>
      </c>
      <c r="Z35" s="23">
        <v>23.821000000000002</v>
      </c>
      <c r="AA35" s="23"/>
      <c r="AB35" s="23"/>
    </row>
    <row r="36" spans="2:28" ht="13.5" customHeight="1" x14ac:dyDescent="0.25">
      <c r="B36" s="29" t="s">
        <v>182</v>
      </c>
      <c r="C36" s="29" t="s">
        <v>181</v>
      </c>
      <c r="D36" s="30" t="s">
        <v>168</v>
      </c>
      <c r="E36" s="35"/>
      <c r="F36" s="35">
        <v>4.8000000000000001E-2</v>
      </c>
      <c r="G36" s="35">
        <v>0</v>
      </c>
      <c r="H36" s="35">
        <v>0</v>
      </c>
      <c r="I36" s="32">
        <v>4.2999999999999997E-2</v>
      </c>
      <c r="J36" s="35">
        <v>7.6999999999999999E-2</v>
      </c>
      <c r="K36" s="35">
        <v>0</v>
      </c>
      <c r="L36" s="35">
        <v>0</v>
      </c>
      <c r="M36" s="59"/>
      <c r="N36" s="59"/>
      <c r="O36" s="59"/>
      <c r="P36" s="59"/>
      <c r="Q36" s="59"/>
      <c r="R36" s="59"/>
      <c r="S36" s="59"/>
      <c r="T36" s="59"/>
      <c r="U36" s="23"/>
      <c r="V36" s="25">
        <v>7.2999999999999995E-2</v>
      </c>
      <c r="W36" s="25"/>
      <c r="X36" s="25"/>
      <c r="Y36" s="25">
        <v>8.7999999999999995E-2</v>
      </c>
      <c r="Z36" s="25">
        <v>0.151</v>
      </c>
      <c r="AA36" s="25"/>
      <c r="AB36" s="24"/>
    </row>
    <row r="37" spans="2:28" x14ac:dyDescent="0.25">
      <c r="B37" s="29" t="s">
        <v>182</v>
      </c>
      <c r="C37" s="8" t="s">
        <v>181</v>
      </c>
      <c r="D37" s="30" t="s">
        <v>175</v>
      </c>
      <c r="E37" s="26"/>
      <c r="F37" s="35">
        <v>0.33800000000000002</v>
      </c>
      <c r="G37" s="35">
        <v>0.35099999999999998</v>
      </c>
      <c r="H37" s="35">
        <v>0</v>
      </c>
      <c r="I37" s="35">
        <v>1.0920000000000001</v>
      </c>
      <c r="J37" s="31">
        <v>3.2650000000000001</v>
      </c>
      <c r="K37" s="35">
        <v>1.6970000000000001</v>
      </c>
      <c r="L37" s="35">
        <v>7.5999999999999998E-2</v>
      </c>
      <c r="M37" s="59"/>
      <c r="N37" s="59"/>
      <c r="O37" s="59"/>
      <c r="P37" s="59"/>
      <c r="Q37" s="59"/>
      <c r="R37" s="59"/>
      <c r="S37" s="59"/>
      <c r="T37" s="59"/>
      <c r="U37" s="23"/>
      <c r="V37" s="22">
        <v>4.4260000000000002</v>
      </c>
      <c r="W37" s="22">
        <v>0.64300000000000002</v>
      </c>
      <c r="X37" s="23"/>
      <c r="Y37" s="22">
        <v>16.753</v>
      </c>
      <c r="Z37" s="23">
        <v>32.752000000000002</v>
      </c>
      <c r="AA37" s="22">
        <v>3.5529999999999999</v>
      </c>
      <c r="AB37" s="23">
        <v>5.6909999999999998</v>
      </c>
    </row>
    <row r="38" spans="2:28" ht="13.5" customHeight="1" x14ac:dyDescent="0.25">
      <c r="B38" s="29" t="s">
        <v>182</v>
      </c>
      <c r="C38" s="8" t="s">
        <v>181</v>
      </c>
      <c r="D38" s="30" t="s">
        <v>180</v>
      </c>
      <c r="E38" s="35"/>
      <c r="F38" s="31">
        <v>0.15300000000000002</v>
      </c>
      <c r="G38" s="35">
        <v>2.5000000000000001E-2</v>
      </c>
      <c r="H38" s="35">
        <v>0</v>
      </c>
      <c r="I38" s="35">
        <v>4.1000000000000002E-2</v>
      </c>
      <c r="J38" s="31">
        <v>0.24099999999999999</v>
      </c>
      <c r="K38" s="35">
        <v>0</v>
      </c>
      <c r="L38" s="35">
        <v>0</v>
      </c>
      <c r="M38" s="59"/>
      <c r="N38" s="59"/>
      <c r="O38" s="59"/>
      <c r="P38" s="59"/>
      <c r="Q38" s="59"/>
      <c r="R38" s="59"/>
      <c r="S38" s="59"/>
      <c r="T38" s="59"/>
      <c r="U38" s="23"/>
      <c r="V38" s="22">
        <v>0.373</v>
      </c>
      <c r="W38" s="22">
        <v>5.6000000000000001E-2</v>
      </c>
      <c r="X38" s="22"/>
      <c r="Y38" s="22">
        <v>0.249</v>
      </c>
      <c r="Z38" s="22">
        <v>0.27</v>
      </c>
      <c r="AA38" s="22">
        <v>4.8000000000000001E-2</v>
      </c>
      <c r="AB38" s="23"/>
    </row>
    <row r="39" spans="2:28" x14ac:dyDescent="0.25">
      <c r="B39" s="29" t="s">
        <v>182</v>
      </c>
      <c r="C39" s="8" t="s">
        <v>181</v>
      </c>
      <c r="D39" s="30" t="s">
        <v>176</v>
      </c>
      <c r="E39" s="35"/>
      <c r="F39" s="35">
        <v>0.84099999999999997</v>
      </c>
      <c r="G39" s="35">
        <v>0</v>
      </c>
      <c r="H39" s="35">
        <v>0</v>
      </c>
      <c r="I39" s="35">
        <v>0.79900000000000004</v>
      </c>
      <c r="J39" s="35">
        <v>0.32600000000000001</v>
      </c>
      <c r="K39" s="35">
        <v>0</v>
      </c>
      <c r="L39" s="35">
        <v>0</v>
      </c>
      <c r="M39" s="59"/>
      <c r="N39" s="59"/>
      <c r="O39" s="59"/>
      <c r="P39" s="59"/>
      <c r="Q39" s="59"/>
      <c r="R39" s="59"/>
      <c r="S39" s="59"/>
      <c r="T39" s="59"/>
      <c r="U39" s="23"/>
      <c r="V39" s="22">
        <v>1.3089999999999999</v>
      </c>
      <c r="W39" s="23">
        <v>0</v>
      </c>
      <c r="X39" s="23"/>
      <c r="Y39" s="23">
        <v>3.5489999999999999</v>
      </c>
      <c r="Z39" s="22">
        <v>1.206</v>
      </c>
      <c r="AA39" s="23"/>
      <c r="AB39" s="22"/>
    </row>
    <row r="40" spans="2:28" ht="13.5" customHeight="1" x14ac:dyDescent="0.25">
      <c r="B40" s="29" t="s">
        <v>182</v>
      </c>
      <c r="C40" s="29" t="s">
        <v>181</v>
      </c>
      <c r="D40" s="30" t="s">
        <v>158</v>
      </c>
      <c r="E40" s="35"/>
      <c r="F40" s="35">
        <v>2.5000000000000001E-2</v>
      </c>
      <c r="G40" s="35">
        <v>0</v>
      </c>
      <c r="H40" s="35">
        <v>0</v>
      </c>
      <c r="I40" s="35">
        <v>0.01</v>
      </c>
      <c r="J40" s="35">
        <v>1.9E-2</v>
      </c>
      <c r="K40" s="35">
        <v>0</v>
      </c>
      <c r="L40" s="35">
        <v>0</v>
      </c>
      <c r="M40" s="59"/>
      <c r="N40" s="59"/>
      <c r="O40" s="59"/>
      <c r="P40" s="59"/>
      <c r="Q40" s="59"/>
      <c r="R40" s="59"/>
      <c r="S40" s="59"/>
      <c r="T40" s="59"/>
      <c r="U40" s="23"/>
      <c r="V40" s="22">
        <v>3.6999999999999998E-2</v>
      </c>
      <c r="W40" s="22"/>
      <c r="X40" s="22"/>
      <c r="Y40" s="22">
        <v>0.02</v>
      </c>
      <c r="Z40" s="22">
        <v>0.02</v>
      </c>
      <c r="AA40" s="22"/>
      <c r="AB40" s="23"/>
    </row>
    <row r="41" spans="2:28" x14ac:dyDescent="0.25">
      <c r="B41" s="29" t="s">
        <v>182</v>
      </c>
      <c r="C41" s="8" t="s">
        <v>181</v>
      </c>
      <c r="D41" s="30" t="s">
        <v>177</v>
      </c>
      <c r="E41" s="35"/>
      <c r="F41" s="35">
        <v>0.81399999999999995</v>
      </c>
      <c r="G41" s="35">
        <v>0</v>
      </c>
      <c r="H41" s="35">
        <v>0</v>
      </c>
      <c r="I41" s="35">
        <v>0.65800000000000003</v>
      </c>
      <c r="J41" s="35">
        <v>0.71299999999999997</v>
      </c>
      <c r="K41" s="35">
        <v>0.52600000000000002</v>
      </c>
      <c r="L41" s="35">
        <v>0</v>
      </c>
      <c r="M41" s="59"/>
      <c r="N41" s="59"/>
      <c r="O41" s="59"/>
      <c r="P41" s="59"/>
      <c r="Q41" s="59"/>
      <c r="R41" s="59"/>
      <c r="S41" s="59"/>
      <c r="T41" s="59"/>
      <c r="U41" s="23"/>
      <c r="V41" s="22">
        <v>3.5910000000000002</v>
      </c>
      <c r="W41" s="23"/>
      <c r="X41" s="23"/>
      <c r="Y41" s="22">
        <v>4.726</v>
      </c>
      <c r="Z41" s="23">
        <v>7.548</v>
      </c>
      <c r="AA41" s="23">
        <v>7.39</v>
      </c>
      <c r="AB41" s="23">
        <v>1.4350000000000001</v>
      </c>
    </row>
    <row r="42" spans="2:28" ht="13.5" customHeight="1" x14ac:dyDescent="0.25">
      <c r="B42" s="29" t="s">
        <v>182</v>
      </c>
      <c r="C42" s="8" t="s">
        <v>181</v>
      </c>
      <c r="D42" s="30" t="s">
        <v>178</v>
      </c>
      <c r="E42" s="26"/>
      <c r="F42" s="35">
        <v>0.26299999999999996</v>
      </c>
      <c r="G42" s="35">
        <v>0</v>
      </c>
      <c r="H42" s="35">
        <v>0</v>
      </c>
      <c r="I42" s="35">
        <v>0.23100000000000001</v>
      </c>
      <c r="J42" s="32">
        <v>0.13900000000000001</v>
      </c>
      <c r="K42" s="35">
        <v>5.7000000000000002E-2</v>
      </c>
      <c r="L42" s="35">
        <v>0</v>
      </c>
      <c r="M42" s="59"/>
      <c r="N42" s="59"/>
      <c r="O42" s="59"/>
      <c r="P42" s="59"/>
      <c r="Q42" s="59"/>
      <c r="R42" s="59"/>
      <c r="S42" s="59"/>
      <c r="T42" s="59"/>
      <c r="U42" s="23"/>
      <c r="V42" s="25">
        <v>1.1439999999999999</v>
      </c>
      <c r="W42" s="25"/>
      <c r="X42" s="25"/>
      <c r="Y42" s="25">
        <v>0.45700000000000002</v>
      </c>
      <c r="Z42" s="25">
        <v>0.65400000000000003</v>
      </c>
      <c r="AA42" s="25">
        <v>0.14399999999999999</v>
      </c>
      <c r="AB42" s="24"/>
    </row>
    <row r="43" spans="2:28" x14ac:dyDescent="0.25">
      <c r="B43" s="29" t="s">
        <v>182</v>
      </c>
      <c r="C43" s="8" t="s">
        <v>181</v>
      </c>
      <c r="D43" s="30" t="s">
        <v>179</v>
      </c>
      <c r="E43" s="26"/>
      <c r="F43" s="35">
        <v>0.55100000000000005</v>
      </c>
      <c r="G43" s="35">
        <v>0.47700000000000004</v>
      </c>
      <c r="H43" s="35">
        <v>0.114</v>
      </c>
      <c r="I43" s="35">
        <v>3.0249999999999999</v>
      </c>
      <c r="J43" s="35">
        <v>2.4510000000000001</v>
      </c>
      <c r="K43" s="35">
        <v>4.141</v>
      </c>
      <c r="L43" s="41">
        <v>2.8000000000000001E-2</v>
      </c>
      <c r="M43" s="59"/>
      <c r="N43" s="59"/>
      <c r="O43" s="59"/>
      <c r="P43" s="59"/>
      <c r="Q43" s="59"/>
      <c r="R43" s="59"/>
      <c r="S43" s="59"/>
      <c r="T43" s="59"/>
      <c r="U43" s="23"/>
      <c r="V43" s="22">
        <v>20.152000000000001</v>
      </c>
      <c r="W43" s="22">
        <v>13.459</v>
      </c>
      <c r="X43" s="23">
        <v>2.2389999999999999</v>
      </c>
      <c r="Y43" s="22">
        <v>18.538</v>
      </c>
      <c r="Z43" s="23">
        <v>31.943999999999999</v>
      </c>
      <c r="AA43" s="22">
        <v>10.321999999999999</v>
      </c>
      <c r="AB43" s="23">
        <v>3.5590000000000002</v>
      </c>
    </row>
    <row r="44" spans="2:28" ht="13.5" customHeight="1" x14ac:dyDescent="0.25">
      <c r="B44" s="29" t="s">
        <v>182</v>
      </c>
      <c r="C44" s="8" t="s">
        <v>181</v>
      </c>
      <c r="D44" s="30" t="s">
        <v>195</v>
      </c>
      <c r="E44" s="26"/>
      <c r="F44" s="33">
        <v>0.29300000000000004</v>
      </c>
      <c r="G44" s="33">
        <v>0.21300000000000008</v>
      </c>
      <c r="H44" s="33">
        <v>0.05</v>
      </c>
      <c r="I44" s="33">
        <v>1.4E-2</v>
      </c>
      <c r="J44" s="34">
        <v>0.22200000000000003</v>
      </c>
      <c r="K44" s="33">
        <v>0</v>
      </c>
      <c r="L44" s="35">
        <v>0</v>
      </c>
      <c r="M44" s="59"/>
      <c r="N44" s="59"/>
      <c r="O44" s="59"/>
      <c r="P44" s="59"/>
      <c r="Q44" s="59"/>
      <c r="R44" s="59"/>
      <c r="S44" s="59"/>
      <c r="T44" s="59"/>
      <c r="U44" s="23"/>
      <c r="V44" s="22">
        <v>0.626</v>
      </c>
      <c r="W44" s="22">
        <v>0.44</v>
      </c>
      <c r="X44" s="22">
        <v>0.157</v>
      </c>
      <c r="Y44" s="22">
        <v>0.58499999999999996</v>
      </c>
      <c r="Z44" s="22">
        <v>7.3999999999999996E-2</v>
      </c>
      <c r="AA44" s="22"/>
      <c r="AB44" s="23"/>
    </row>
    <row r="45" spans="2:28" x14ac:dyDescent="0.25">
      <c r="F45" s="39"/>
      <c r="G45" s="39"/>
      <c r="H45" s="39"/>
      <c r="I45" s="39"/>
      <c r="J45" s="39"/>
      <c r="K45" s="39"/>
    </row>
  </sheetData>
  <autoFilter ref="B4:AB44"/>
  <mergeCells count="13">
    <mergeCell ref="B2:AB2"/>
    <mergeCell ref="B5:B7"/>
    <mergeCell ref="C5:C7"/>
    <mergeCell ref="D5:D7"/>
    <mergeCell ref="E5:L5"/>
    <mergeCell ref="M5:T5"/>
    <mergeCell ref="U5:AB5"/>
    <mergeCell ref="E6:H6"/>
    <mergeCell ref="I6:L6"/>
    <mergeCell ref="M6:P6"/>
    <mergeCell ref="Q6:T6"/>
    <mergeCell ref="U6:X6"/>
    <mergeCell ref="Y6:AB6"/>
  </mergeCells>
  <pageMargins left="0.196527777777778" right="0.196527777777778" top="0.74791666666666701" bottom="0.74791666666666701" header="0.51180555555555496" footer="0.51180555555555496"/>
  <pageSetup paperSize="9" scale="94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13"/>
  <sheetViews>
    <sheetView workbookViewId="0">
      <selection activeCell="I22" sqref="I22"/>
    </sheetView>
  </sheetViews>
  <sheetFormatPr defaultColWidth="8.85546875" defaultRowHeight="13.5" x14ac:dyDescent="0.25"/>
  <cols>
    <col min="1" max="2" width="22" style="72" customWidth="1"/>
    <col min="3" max="3" width="21.140625" style="72" bestFit="1" customWidth="1"/>
    <col min="4" max="4" width="13.7109375" style="72" customWidth="1"/>
    <col min="5" max="12" width="6.7109375" style="72" customWidth="1"/>
    <col min="13" max="1024" width="8.85546875" style="72"/>
    <col min="1025" max="16384" width="8.85546875" style="71"/>
  </cols>
  <sheetData>
    <row r="2" spans="1:14" ht="20.25" x14ac:dyDescent="0.3">
      <c r="A2" s="11" t="s">
        <v>185</v>
      </c>
      <c r="B2" s="18"/>
    </row>
    <row r="4" spans="1:14" x14ac:dyDescent="0.25">
      <c r="A4" s="72" t="s">
        <v>186</v>
      </c>
      <c r="C4" s="18" t="s">
        <v>207</v>
      </c>
    </row>
    <row r="5" spans="1:14" x14ac:dyDescent="0.25">
      <c r="A5" s="92" t="s">
        <v>187</v>
      </c>
      <c r="B5" s="92" t="s">
        <v>99</v>
      </c>
      <c r="C5" s="92" t="s">
        <v>188</v>
      </c>
      <c r="D5" s="92" t="s">
        <v>189</v>
      </c>
      <c r="E5" s="96" t="s">
        <v>190</v>
      </c>
      <c r="F5" s="96"/>
      <c r="G5" s="96"/>
      <c r="H5" s="96"/>
      <c r="I5" s="96"/>
      <c r="J5" s="96"/>
      <c r="K5" s="96"/>
      <c r="L5" s="96"/>
    </row>
    <row r="6" spans="1:14" x14ac:dyDescent="0.25">
      <c r="A6" s="92"/>
      <c r="B6" s="92"/>
      <c r="C6" s="92"/>
      <c r="D6" s="92"/>
      <c r="E6" s="96" t="s">
        <v>120</v>
      </c>
      <c r="F6" s="96"/>
      <c r="G6" s="96"/>
      <c r="H6" s="96"/>
      <c r="I6" s="96" t="s">
        <v>140</v>
      </c>
      <c r="J6" s="96"/>
      <c r="K6" s="96"/>
      <c r="L6" s="96"/>
    </row>
    <row r="7" spans="1:14" ht="27" customHeight="1" x14ac:dyDescent="0.25">
      <c r="A7" s="92"/>
      <c r="B7" s="92"/>
      <c r="C7" s="92"/>
      <c r="D7" s="92"/>
      <c r="E7" s="45" t="s">
        <v>123</v>
      </c>
      <c r="F7" s="45" t="s">
        <v>124</v>
      </c>
      <c r="G7" s="45" t="s">
        <v>125</v>
      </c>
      <c r="H7" s="45" t="s">
        <v>126</v>
      </c>
      <c r="I7" s="45" t="s">
        <v>127</v>
      </c>
      <c r="J7" s="45" t="s">
        <v>128</v>
      </c>
      <c r="K7" s="45" t="s">
        <v>129</v>
      </c>
      <c r="L7" s="45" t="s">
        <v>130</v>
      </c>
    </row>
    <row r="8" spans="1:14" x14ac:dyDescent="0.25">
      <c r="A8" s="53">
        <v>1</v>
      </c>
      <c r="B8" s="53">
        <v>2</v>
      </c>
      <c r="C8" s="53">
        <v>3</v>
      </c>
      <c r="D8" s="53">
        <v>4</v>
      </c>
      <c r="E8" s="53">
        <v>5</v>
      </c>
      <c r="F8" s="53">
        <v>6</v>
      </c>
      <c r="G8" s="53">
        <v>7</v>
      </c>
      <c r="H8" s="53">
        <v>8</v>
      </c>
      <c r="I8" s="53">
        <v>9</v>
      </c>
      <c r="J8" s="53">
        <v>10</v>
      </c>
      <c r="K8" s="53">
        <v>11</v>
      </c>
      <c r="L8" s="53">
        <v>12</v>
      </c>
    </row>
    <row r="9" spans="1:14" x14ac:dyDescent="0.25">
      <c r="A9" s="73" t="s">
        <v>182</v>
      </c>
      <c r="B9" s="73" t="s">
        <v>183</v>
      </c>
      <c r="C9" s="73" t="s">
        <v>191</v>
      </c>
      <c r="D9" s="54" t="s">
        <v>208</v>
      </c>
      <c r="E9" s="73"/>
      <c r="F9" s="44">
        <v>0.24</v>
      </c>
      <c r="G9" s="44">
        <f>0.122+1.1+0.24+0.8</f>
        <v>2.262</v>
      </c>
      <c r="H9" s="44"/>
      <c r="I9" s="44">
        <f>0.252+0.54</f>
        <v>0.79200000000000004</v>
      </c>
      <c r="J9" s="44">
        <f>0.188+0.42</f>
        <v>0.60799999999999998</v>
      </c>
      <c r="K9" s="44"/>
      <c r="L9" s="73"/>
      <c r="N9" s="55"/>
    </row>
    <row r="10" spans="1:14" x14ac:dyDescent="0.25">
      <c r="A10" s="73"/>
      <c r="B10" s="73" t="s">
        <v>203</v>
      </c>
      <c r="C10" s="73" t="s">
        <v>191</v>
      </c>
      <c r="D10" s="54" t="s">
        <v>208</v>
      </c>
      <c r="E10" s="73"/>
      <c r="F10" s="44">
        <v>0.77400000000000002</v>
      </c>
      <c r="G10" s="44"/>
      <c r="H10" s="44"/>
      <c r="I10" s="44"/>
      <c r="J10" s="44"/>
      <c r="K10" s="44"/>
      <c r="L10" s="73"/>
      <c r="N10" s="55"/>
    </row>
    <row r="11" spans="1:14" x14ac:dyDescent="0.25">
      <c r="A11" s="73" t="s">
        <v>182</v>
      </c>
      <c r="B11" s="73" t="s">
        <v>183</v>
      </c>
      <c r="C11" s="73" t="s">
        <v>192</v>
      </c>
      <c r="D11" s="54" t="s">
        <v>208</v>
      </c>
      <c r="E11" s="73"/>
      <c r="F11" s="44">
        <v>2</v>
      </c>
      <c r="G11" s="44">
        <f>0.163+5.75</f>
        <v>5.9130000000000003</v>
      </c>
      <c r="H11" s="73"/>
      <c r="I11" s="44"/>
      <c r="J11" s="44">
        <f>0.06+1.65</f>
        <v>1.71</v>
      </c>
      <c r="K11" s="44"/>
      <c r="L11" s="73"/>
      <c r="N11" s="55"/>
    </row>
    <row r="12" spans="1:14" x14ac:dyDescent="0.25">
      <c r="A12" s="73"/>
      <c r="B12" s="73" t="s">
        <v>203</v>
      </c>
      <c r="C12" s="73" t="s">
        <v>192</v>
      </c>
      <c r="D12" s="54" t="s">
        <v>208</v>
      </c>
      <c r="E12" s="73"/>
      <c r="F12" s="44">
        <v>0.999</v>
      </c>
      <c r="G12" s="44"/>
      <c r="H12" s="73"/>
      <c r="I12" s="44"/>
      <c r="J12" s="44"/>
      <c r="K12" s="44"/>
      <c r="L12" s="73"/>
    </row>
    <row r="13" spans="1:14" x14ac:dyDescent="0.25">
      <c r="A13" s="73"/>
      <c r="B13" s="73" t="s">
        <v>209</v>
      </c>
      <c r="C13" s="73" t="s">
        <v>192</v>
      </c>
      <c r="D13" s="54" t="s">
        <v>208</v>
      </c>
      <c r="E13" s="73"/>
      <c r="F13" s="44">
        <v>5.0999999999999996</v>
      </c>
      <c r="G13" s="44"/>
      <c r="H13" s="73"/>
      <c r="I13" s="44"/>
      <c r="J13" s="44"/>
      <c r="K13" s="44"/>
      <c r="L13" s="73"/>
    </row>
  </sheetData>
  <mergeCells count="7">
    <mergeCell ref="A5:A7"/>
    <mergeCell ref="B5:B7"/>
    <mergeCell ref="C5:C7"/>
    <mergeCell ref="D5:D7"/>
    <mergeCell ref="E5:L5"/>
    <mergeCell ref="E6:H6"/>
    <mergeCell ref="I6:L6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H46"/>
  <sheetViews>
    <sheetView showZeros="0" zoomScaleNormal="100" zoomScaleSheetLayoutView="85" zoomScalePageLayoutView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85546875" defaultRowHeight="13.5" x14ac:dyDescent="0.25"/>
  <cols>
    <col min="1" max="1" width="15.7109375" style="81" customWidth="1"/>
    <col min="2" max="2" width="30.7109375" style="81" customWidth="1"/>
    <col min="3" max="3" width="15.7109375" style="81" customWidth="1"/>
    <col min="4" max="8" width="6.7109375" style="70" customWidth="1"/>
    <col min="9" max="9" width="7.7109375" style="70" customWidth="1"/>
    <col min="10" max="16" width="6.7109375" style="70" customWidth="1"/>
    <col min="17" max="17" width="7.7109375" style="70" customWidth="1"/>
    <col min="18" max="19" width="6.7109375" style="70" customWidth="1"/>
    <col min="20" max="710" width="8.85546875" style="81"/>
    <col min="711" max="16384" width="8.85546875" style="80"/>
  </cols>
  <sheetData>
    <row r="2" spans="1:19" ht="44.45" customHeight="1" x14ac:dyDescent="0.25">
      <c r="A2" s="93" t="s">
        <v>210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4" spans="1:19" x14ac:dyDescent="0.25">
      <c r="A4" s="81" t="s">
        <v>196</v>
      </c>
    </row>
    <row r="5" spans="1:19" ht="20.45" customHeight="1" x14ac:dyDescent="0.25">
      <c r="A5" s="97" t="s">
        <v>197</v>
      </c>
      <c r="B5" s="97" t="s">
        <v>99</v>
      </c>
      <c r="C5" s="98" t="s">
        <v>198</v>
      </c>
      <c r="D5" s="99" t="s">
        <v>199</v>
      </c>
      <c r="E5" s="99"/>
      <c r="F5" s="99"/>
      <c r="G5" s="99"/>
      <c r="H5" s="99"/>
      <c r="I5" s="99"/>
      <c r="J5" s="99"/>
      <c r="K5" s="99"/>
      <c r="L5" s="99" t="s">
        <v>200</v>
      </c>
      <c r="M5" s="99"/>
      <c r="N5" s="99"/>
      <c r="O5" s="99"/>
      <c r="P5" s="99"/>
      <c r="Q5" s="99"/>
      <c r="R5" s="99"/>
      <c r="S5" s="99"/>
    </row>
    <row r="6" spans="1:19" ht="20.45" customHeight="1" x14ac:dyDescent="0.25">
      <c r="A6" s="97"/>
      <c r="B6" s="97"/>
      <c r="C6" s="98"/>
      <c r="D6" s="99" t="s">
        <v>120</v>
      </c>
      <c r="E6" s="99"/>
      <c r="F6" s="99"/>
      <c r="G6" s="99"/>
      <c r="H6" s="99" t="s">
        <v>140</v>
      </c>
      <c r="I6" s="99"/>
      <c r="J6" s="99"/>
      <c r="K6" s="99"/>
      <c r="L6" s="99" t="s">
        <v>120</v>
      </c>
      <c r="M6" s="99"/>
      <c r="N6" s="99"/>
      <c r="O6" s="99"/>
      <c r="P6" s="99" t="s">
        <v>140</v>
      </c>
      <c r="Q6" s="99"/>
      <c r="R6" s="99"/>
      <c r="S6" s="99"/>
    </row>
    <row r="7" spans="1:19" ht="27" customHeight="1" x14ac:dyDescent="0.25">
      <c r="A7" s="97"/>
      <c r="B7" s="97"/>
      <c r="C7" s="98"/>
      <c r="D7" s="85" t="s">
        <v>123</v>
      </c>
      <c r="E7" s="85" t="s">
        <v>124</v>
      </c>
      <c r="F7" s="85" t="s">
        <v>125</v>
      </c>
      <c r="G7" s="85" t="s">
        <v>126</v>
      </c>
      <c r="H7" s="85" t="s">
        <v>127</v>
      </c>
      <c r="I7" s="85" t="s">
        <v>128</v>
      </c>
      <c r="J7" s="85" t="s">
        <v>129</v>
      </c>
      <c r="K7" s="85" t="s">
        <v>130</v>
      </c>
      <c r="L7" s="85" t="s">
        <v>123</v>
      </c>
      <c r="M7" s="85" t="s">
        <v>124</v>
      </c>
      <c r="N7" s="85" t="s">
        <v>125</v>
      </c>
      <c r="O7" s="85" t="s">
        <v>126</v>
      </c>
      <c r="P7" s="85" t="s">
        <v>127</v>
      </c>
      <c r="Q7" s="85" t="s">
        <v>128</v>
      </c>
      <c r="R7" s="85" t="s">
        <v>129</v>
      </c>
      <c r="S7" s="85" t="s">
        <v>130</v>
      </c>
    </row>
    <row r="8" spans="1:19" ht="12" customHeight="1" x14ac:dyDescent="0.25">
      <c r="A8" s="83">
        <v>1</v>
      </c>
      <c r="B8" s="83">
        <v>2</v>
      </c>
      <c r="C8" s="83">
        <v>3</v>
      </c>
      <c r="D8" s="87">
        <v>4</v>
      </c>
      <c r="E8" s="87">
        <v>5</v>
      </c>
      <c r="F8" s="87">
        <v>6</v>
      </c>
      <c r="G8" s="87">
        <v>7</v>
      </c>
      <c r="H8" s="87">
        <v>8</v>
      </c>
      <c r="I8" s="87">
        <v>9</v>
      </c>
      <c r="J8" s="87">
        <v>10</v>
      </c>
      <c r="K8" s="87">
        <v>11</v>
      </c>
      <c r="L8" s="87">
        <v>12</v>
      </c>
      <c r="M8" s="87">
        <v>13</v>
      </c>
      <c r="N8" s="87">
        <v>14</v>
      </c>
      <c r="O8" s="87">
        <v>15</v>
      </c>
      <c r="P8" s="87">
        <v>16</v>
      </c>
      <c r="Q8" s="87">
        <v>17</v>
      </c>
      <c r="R8" s="87">
        <v>18</v>
      </c>
      <c r="S8" s="87">
        <v>19</v>
      </c>
    </row>
    <row r="9" spans="1:19" ht="15" customHeight="1" x14ac:dyDescent="0.25">
      <c r="A9" s="82" t="s">
        <v>182</v>
      </c>
      <c r="B9" s="82" t="s">
        <v>181</v>
      </c>
      <c r="C9" s="82" t="s">
        <v>159</v>
      </c>
      <c r="D9" s="86"/>
      <c r="E9" s="86">
        <v>0</v>
      </c>
      <c r="F9" s="86">
        <v>0</v>
      </c>
      <c r="G9" s="86">
        <v>0</v>
      </c>
      <c r="H9" s="86">
        <v>0</v>
      </c>
      <c r="I9" s="86">
        <v>0</v>
      </c>
      <c r="J9" s="86"/>
      <c r="K9" s="86"/>
      <c r="L9" s="86"/>
      <c r="M9" s="86">
        <v>1.1803000000000001E-2</v>
      </c>
      <c r="N9" s="86">
        <v>0</v>
      </c>
      <c r="O9" s="86">
        <v>0</v>
      </c>
      <c r="P9" s="86">
        <v>0</v>
      </c>
      <c r="Q9" s="86">
        <v>3.3E-3</v>
      </c>
      <c r="R9" s="86"/>
      <c r="S9" s="86"/>
    </row>
    <row r="10" spans="1:19" ht="15" customHeight="1" x14ac:dyDescent="0.25">
      <c r="A10" s="82" t="s">
        <v>182</v>
      </c>
      <c r="B10" s="82" t="s">
        <v>181</v>
      </c>
      <c r="C10" s="82" t="s">
        <v>168</v>
      </c>
      <c r="D10" s="86"/>
      <c r="E10" s="86">
        <v>4.2360000000000045E-3</v>
      </c>
      <c r="F10" s="86">
        <v>0</v>
      </c>
      <c r="G10" s="86">
        <v>0</v>
      </c>
      <c r="H10" s="86">
        <v>0</v>
      </c>
      <c r="I10" s="86">
        <v>3.1069999999999995E-3</v>
      </c>
      <c r="J10" s="86"/>
      <c r="K10" s="86"/>
      <c r="L10" s="86"/>
      <c r="M10" s="86">
        <v>0.106866</v>
      </c>
      <c r="N10" s="86">
        <v>0</v>
      </c>
      <c r="O10" s="86">
        <v>0</v>
      </c>
      <c r="P10" s="86">
        <v>4.6700000000000002E-4</v>
      </c>
      <c r="Q10" s="86">
        <v>7.9061999999999993E-2</v>
      </c>
      <c r="R10" s="86"/>
      <c r="S10" s="86"/>
    </row>
    <row r="11" spans="1:19" ht="15" customHeight="1" x14ac:dyDescent="0.25">
      <c r="A11" s="82" t="s">
        <v>182</v>
      </c>
      <c r="B11" s="82" t="s">
        <v>181</v>
      </c>
      <c r="C11" s="82" t="s">
        <v>160</v>
      </c>
      <c r="D11" s="86"/>
      <c r="E11" s="86">
        <v>0.01</v>
      </c>
      <c r="F11" s="86">
        <v>0</v>
      </c>
      <c r="G11" s="86">
        <v>0</v>
      </c>
      <c r="H11" s="86">
        <v>0.44600000000000001</v>
      </c>
      <c r="I11" s="86">
        <v>0.1</v>
      </c>
      <c r="J11" s="86"/>
      <c r="K11" s="86"/>
      <c r="L11" s="86"/>
      <c r="M11" s="86">
        <v>0.01</v>
      </c>
      <c r="N11" s="86">
        <v>0</v>
      </c>
      <c r="O11" s="86">
        <v>0</v>
      </c>
      <c r="P11" s="86">
        <v>0.44600000000000001</v>
      </c>
      <c r="Q11" s="86">
        <v>0.1</v>
      </c>
      <c r="R11" s="86"/>
      <c r="S11" s="86"/>
    </row>
    <row r="12" spans="1:19" ht="15" customHeight="1" x14ac:dyDescent="0.25">
      <c r="A12" s="82" t="s">
        <v>182</v>
      </c>
      <c r="B12" s="82" t="s">
        <v>181</v>
      </c>
      <c r="C12" s="82" t="s">
        <v>168</v>
      </c>
      <c r="D12" s="86"/>
      <c r="E12" s="86">
        <v>2.8599999999999993E-3</v>
      </c>
      <c r="F12" s="86">
        <v>0</v>
      </c>
      <c r="G12" s="86">
        <v>0</v>
      </c>
      <c r="H12" s="86">
        <v>0</v>
      </c>
      <c r="I12" s="86">
        <v>9.6799999999999642E-4</v>
      </c>
      <c r="J12" s="86"/>
      <c r="K12" s="86"/>
      <c r="L12" s="86"/>
      <c r="M12" s="86">
        <v>6.4318E-2</v>
      </c>
      <c r="N12" s="86">
        <v>0</v>
      </c>
      <c r="O12" s="86">
        <v>0</v>
      </c>
      <c r="P12" s="86">
        <v>0</v>
      </c>
      <c r="Q12" s="86">
        <v>3.3519E-2</v>
      </c>
      <c r="R12" s="86"/>
      <c r="S12" s="86"/>
    </row>
    <row r="13" spans="1:19" ht="15" customHeight="1" x14ac:dyDescent="0.25">
      <c r="A13" s="82" t="s">
        <v>182</v>
      </c>
      <c r="B13" s="82" t="s">
        <v>181</v>
      </c>
      <c r="C13" s="82" t="s">
        <v>161</v>
      </c>
      <c r="D13" s="86"/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/>
      <c r="K13" s="86"/>
      <c r="L13" s="86"/>
      <c r="M13" s="86">
        <v>0</v>
      </c>
      <c r="N13" s="86">
        <v>0</v>
      </c>
      <c r="O13" s="86">
        <v>0</v>
      </c>
      <c r="P13" s="86">
        <v>0</v>
      </c>
      <c r="Q13" s="86">
        <v>0</v>
      </c>
      <c r="R13" s="86"/>
      <c r="S13" s="86"/>
    </row>
    <row r="14" spans="1:19" ht="15" customHeight="1" x14ac:dyDescent="0.25">
      <c r="A14" s="82" t="s">
        <v>182</v>
      </c>
      <c r="B14" s="82" t="s">
        <v>181</v>
      </c>
      <c r="C14" s="82" t="s">
        <v>158</v>
      </c>
      <c r="D14" s="86"/>
      <c r="E14" s="86">
        <v>5.5020000000000025E-3</v>
      </c>
      <c r="F14" s="86">
        <v>0</v>
      </c>
      <c r="G14" s="86">
        <v>0</v>
      </c>
      <c r="H14" s="86">
        <v>0</v>
      </c>
      <c r="I14" s="86">
        <v>3.383000000000001E-3</v>
      </c>
      <c r="J14" s="86"/>
      <c r="K14" s="86"/>
      <c r="L14" s="86"/>
      <c r="M14" s="86">
        <v>6.1109000000000004E-2</v>
      </c>
      <c r="N14" s="86">
        <v>2.9E-5</v>
      </c>
      <c r="O14" s="86">
        <v>0</v>
      </c>
      <c r="P14" s="86">
        <v>0</v>
      </c>
      <c r="Q14" s="86">
        <v>1.7942E-2</v>
      </c>
      <c r="R14" s="86"/>
      <c r="S14" s="86"/>
    </row>
    <row r="15" spans="1:19" ht="15" customHeight="1" x14ac:dyDescent="0.25">
      <c r="A15" s="82" t="s">
        <v>182</v>
      </c>
      <c r="B15" s="82" t="s">
        <v>181</v>
      </c>
      <c r="C15" s="82" t="s">
        <v>162</v>
      </c>
      <c r="D15" s="86"/>
      <c r="E15" s="86">
        <v>0</v>
      </c>
      <c r="F15" s="86">
        <v>0</v>
      </c>
      <c r="G15" s="86">
        <v>0</v>
      </c>
      <c r="H15" s="86">
        <v>0</v>
      </c>
      <c r="I15" s="86">
        <v>0</v>
      </c>
      <c r="J15" s="86"/>
      <c r="K15" s="86"/>
      <c r="L15" s="86"/>
      <c r="M15" s="86">
        <v>0</v>
      </c>
      <c r="N15" s="86">
        <v>0</v>
      </c>
      <c r="O15" s="86">
        <v>0</v>
      </c>
      <c r="P15" s="86">
        <v>1.5403999999999999E-2</v>
      </c>
      <c r="Q15" s="86">
        <v>0.35</v>
      </c>
      <c r="R15" s="86"/>
      <c r="S15" s="86"/>
    </row>
    <row r="16" spans="1:19" ht="15" customHeight="1" x14ac:dyDescent="0.25">
      <c r="A16" s="82" t="s">
        <v>182</v>
      </c>
      <c r="B16" s="82" t="s">
        <v>181</v>
      </c>
      <c r="C16" s="82" t="s">
        <v>158</v>
      </c>
      <c r="D16" s="86"/>
      <c r="E16" s="86">
        <v>1.1110000000000007E-3</v>
      </c>
      <c r="F16" s="86">
        <v>0</v>
      </c>
      <c r="G16" s="86">
        <v>0</v>
      </c>
      <c r="H16" s="86">
        <v>8.600000000000003E-4</v>
      </c>
      <c r="I16" s="86">
        <v>3.5240000000000011E-3</v>
      </c>
      <c r="J16" s="86"/>
      <c r="K16" s="86"/>
      <c r="L16" s="86"/>
      <c r="M16" s="86">
        <v>3.1983999999999999E-2</v>
      </c>
      <c r="N16" s="86">
        <v>2.03E-4</v>
      </c>
      <c r="O16" s="86">
        <v>0</v>
      </c>
      <c r="P16" s="86">
        <v>6.2140000000000008E-3</v>
      </c>
      <c r="Q16" s="86">
        <v>3.9454999999999997E-2</v>
      </c>
      <c r="R16" s="86"/>
      <c r="S16" s="86"/>
    </row>
    <row r="17" spans="1:19" ht="15" customHeight="1" x14ac:dyDescent="0.25">
      <c r="A17" s="82" t="s">
        <v>182</v>
      </c>
      <c r="B17" s="82" t="s">
        <v>181</v>
      </c>
      <c r="C17" s="82" t="s">
        <v>163</v>
      </c>
      <c r="D17" s="86"/>
      <c r="E17" s="86">
        <v>0</v>
      </c>
      <c r="F17" s="86">
        <v>0</v>
      </c>
      <c r="G17" s="86">
        <v>0</v>
      </c>
      <c r="H17" s="86">
        <v>0</v>
      </c>
      <c r="I17" s="86">
        <v>1.0074000000000012E-2</v>
      </c>
      <c r="J17" s="86"/>
      <c r="K17" s="86"/>
      <c r="L17" s="86"/>
      <c r="M17" s="86">
        <v>5.8589999999999996E-3</v>
      </c>
      <c r="N17" s="86">
        <v>0.01</v>
      </c>
      <c r="O17" s="86">
        <v>0</v>
      </c>
      <c r="P17" s="86">
        <v>2.3999999999999998E-4</v>
      </c>
      <c r="Q17" s="86">
        <v>0.31253900000000001</v>
      </c>
      <c r="R17" s="86"/>
      <c r="S17" s="86"/>
    </row>
    <row r="18" spans="1:19" ht="15" customHeight="1" x14ac:dyDescent="0.25">
      <c r="A18" s="82" t="s">
        <v>182</v>
      </c>
      <c r="B18" s="82" t="s">
        <v>181</v>
      </c>
      <c r="C18" s="82" t="s">
        <v>194</v>
      </c>
      <c r="D18" s="86"/>
      <c r="E18" s="86">
        <v>2.4763000000000035E-2</v>
      </c>
      <c r="F18" s="86">
        <v>1.1645000000000039E-2</v>
      </c>
      <c r="G18" s="86">
        <v>0</v>
      </c>
      <c r="H18" s="86">
        <v>0</v>
      </c>
      <c r="I18" s="86">
        <v>3.5927999999999884E-2</v>
      </c>
      <c r="J18" s="86"/>
      <c r="K18" s="86"/>
      <c r="L18" s="86"/>
      <c r="M18" s="86">
        <v>0.91808699999999999</v>
      </c>
      <c r="N18" s="86">
        <v>0.42682100000000001</v>
      </c>
      <c r="O18" s="86">
        <v>0</v>
      </c>
      <c r="P18" s="86">
        <v>0</v>
      </c>
      <c r="Q18" s="86">
        <v>1.5769469999999999</v>
      </c>
      <c r="R18" s="86"/>
      <c r="S18" s="86"/>
    </row>
    <row r="19" spans="1:19" ht="15" customHeight="1" x14ac:dyDescent="0.25">
      <c r="A19" s="82" t="s">
        <v>182</v>
      </c>
      <c r="B19" s="82" t="s">
        <v>183</v>
      </c>
      <c r="C19" s="82" t="s">
        <v>165</v>
      </c>
      <c r="D19" s="86"/>
      <c r="E19" s="86">
        <v>5.4329999999999995E-3</v>
      </c>
      <c r="F19" s="86">
        <v>0</v>
      </c>
      <c r="G19" s="86">
        <v>0</v>
      </c>
      <c r="H19" s="86">
        <v>0</v>
      </c>
      <c r="I19" s="86">
        <v>0</v>
      </c>
      <c r="J19" s="86"/>
      <c r="K19" s="86"/>
      <c r="L19" s="86"/>
      <c r="M19" s="86">
        <v>5.4329999999999995E-3</v>
      </c>
      <c r="N19" s="86">
        <v>0</v>
      </c>
      <c r="O19" s="86">
        <v>0</v>
      </c>
      <c r="P19" s="86">
        <v>0</v>
      </c>
      <c r="Q19" s="86">
        <v>2.8000000000000001E-2</v>
      </c>
      <c r="R19" s="86"/>
      <c r="S19" s="86"/>
    </row>
    <row r="20" spans="1:19" ht="15" customHeight="1" x14ac:dyDescent="0.25">
      <c r="A20" s="82" t="s">
        <v>182</v>
      </c>
      <c r="B20" s="82" t="s">
        <v>181</v>
      </c>
      <c r="C20" s="82" t="s">
        <v>202</v>
      </c>
      <c r="D20" s="86"/>
      <c r="E20" s="86">
        <v>1.3363E-2</v>
      </c>
      <c r="F20" s="86">
        <v>8.459000000000003E-3</v>
      </c>
      <c r="G20" s="86">
        <v>9.0999999999999745E-5</v>
      </c>
      <c r="H20" s="86">
        <v>0</v>
      </c>
      <c r="I20" s="86">
        <v>2.2759999999999992E-2</v>
      </c>
      <c r="J20" s="86"/>
      <c r="K20" s="86"/>
      <c r="L20" s="86"/>
      <c r="M20" s="86">
        <v>0.29857299999999998</v>
      </c>
      <c r="N20" s="86">
        <v>0.21218700000000001</v>
      </c>
      <c r="O20" s="86">
        <v>2.9449999999999997E-3</v>
      </c>
      <c r="P20" s="86">
        <v>0</v>
      </c>
      <c r="Q20" s="86">
        <v>0.29074700000000003</v>
      </c>
      <c r="R20" s="86"/>
      <c r="S20" s="86"/>
    </row>
    <row r="21" spans="1:19" ht="15" customHeight="1" x14ac:dyDescent="0.25">
      <c r="A21" s="82" t="s">
        <v>182</v>
      </c>
      <c r="B21" s="82" t="s">
        <v>181</v>
      </c>
      <c r="C21" s="82" t="s">
        <v>166</v>
      </c>
      <c r="D21" s="86"/>
      <c r="E21" s="86">
        <v>0</v>
      </c>
      <c r="F21" s="86">
        <v>0</v>
      </c>
      <c r="G21" s="86">
        <v>0</v>
      </c>
      <c r="H21" s="86">
        <v>4.5129999999999997E-3</v>
      </c>
      <c r="I21" s="86">
        <v>0</v>
      </c>
      <c r="J21" s="86"/>
      <c r="K21" s="86"/>
      <c r="L21" s="86"/>
      <c r="M21" s="86">
        <v>0</v>
      </c>
      <c r="N21" s="86">
        <v>0</v>
      </c>
      <c r="O21" s="86">
        <v>0</v>
      </c>
      <c r="P21" s="86">
        <v>4.5129999999999997E-3</v>
      </c>
      <c r="Q21" s="86">
        <v>0</v>
      </c>
      <c r="R21" s="86"/>
      <c r="S21" s="86"/>
    </row>
    <row r="22" spans="1:19" ht="15" customHeight="1" x14ac:dyDescent="0.25">
      <c r="A22" s="82" t="s">
        <v>182</v>
      </c>
      <c r="B22" s="82" t="s">
        <v>181</v>
      </c>
      <c r="C22" s="82" t="s">
        <v>158</v>
      </c>
      <c r="D22" s="86"/>
      <c r="E22" s="86">
        <v>1.132999999999999E-3</v>
      </c>
      <c r="F22" s="86">
        <v>0</v>
      </c>
      <c r="G22" s="86">
        <v>0</v>
      </c>
      <c r="H22" s="86">
        <v>6.8000000000000501E-5</v>
      </c>
      <c r="I22" s="86">
        <v>4.4099999999999896E-4</v>
      </c>
      <c r="J22" s="86"/>
      <c r="K22" s="86"/>
      <c r="L22" s="86"/>
      <c r="M22" s="86">
        <v>2.3486999999999997E-2</v>
      </c>
      <c r="N22" s="86">
        <v>0</v>
      </c>
      <c r="O22" s="86">
        <v>0</v>
      </c>
      <c r="P22" s="86">
        <v>6.2380000000000005E-3</v>
      </c>
      <c r="Q22" s="86">
        <v>1.1340999999999999E-2</v>
      </c>
      <c r="R22" s="86"/>
      <c r="S22" s="86"/>
    </row>
    <row r="23" spans="1:19" ht="15" customHeight="1" x14ac:dyDescent="0.25">
      <c r="A23" s="82" t="s">
        <v>182</v>
      </c>
      <c r="B23" s="82" t="s">
        <v>181</v>
      </c>
      <c r="C23" s="82" t="s">
        <v>167</v>
      </c>
      <c r="D23" s="86"/>
      <c r="E23" s="86">
        <v>0</v>
      </c>
      <c r="F23" s="86">
        <v>0</v>
      </c>
      <c r="G23" s="86">
        <v>0</v>
      </c>
      <c r="H23" s="86">
        <v>0</v>
      </c>
      <c r="I23" s="86">
        <v>0</v>
      </c>
      <c r="J23" s="86"/>
      <c r="K23" s="86"/>
      <c r="L23" s="86"/>
      <c r="M23" s="86">
        <v>0</v>
      </c>
      <c r="N23" s="86">
        <v>0</v>
      </c>
      <c r="O23" s="86">
        <v>0</v>
      </c>
      <c r="P23" s="86">
        <v>0</v>
      </c>
      <c r="Q23" s="86">
        <v>0</v>
      </c>
      <c r="R23" s="86"/>
      <c r="S23" s="86"/>
    </row>
    <row r="24" spans="1:19" ht="15" customHeight="1" x14ac:dyDescent="0.25">
      <c r="A24" s="82" t="s">
        <v>182</v>
      </c>
      <c r="B24" s="82" t="s">
        <v>181</v>
      </c>
      <c r="C24" s="82" t="s">
        <v>168</v>
      </c>
      <c r="D24" s="86"/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/>
      <c r="K24" s="86"/>
      <c r="L24" s="86"/>
      <c r="M24" s="86">
        <v>1.0241E-2</v>
      </c>
      <c r="N24" s="86">
        <v>0</v>
      </c>
      <c r="O24" s="86">
        <v>0</v>
      </c>
      <c r="P24" s="86">
        <v>0</v>
      </c>
      <c r="Q24" s="86">
        <v>5.4269999999999995E-3</v>
      </c>
      <c r="R24" s="86"/>
      <c r="S24" s="86"/>
    </row>
    <row r="25" spans="1:19" ht="15" customHeight="1" x14ac:dyDescent="0.25">
      <c r="A25" s="82" t="s">
        <v>182</v>
      </c>
      <c r="B25" s="82" t="s">
        <v>181</v>
      </c>
      <c r="C25" s="82" t="s">
        <v>169</v>
      </c>
      <c r="D25" s="86"/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/>
      <c r="K25" s="86"/>
      <c r="L25" s="86"/>
      <c r="M25" s="86">
        <v>1.072E-2</v>
      </c>
      <c r="N25" s="86">
        <v>0</v>
      </c>
      <c r="O25" s="86">
        <v>0</v>
      </c>
      <c r="P25" s="86">
        <v>0</v>
      </c>
      <c r="Q25" s="86">
        <v>1.4099999999999998E-4</v>
      </c>
      <c r="R25" s="86"/>
      <c r="S25" s="86"/>
    </row>
    <row r="26" spans="1:19" ht="15" customHeight="1" x14ac:dyDescent="0.25">
      <c r="A26" s="82" t="s">
        <v>182</v>
      </c>
      <c r="B26" s="82" t="s">
        <v>181</v>
      </c>
      <c r="C26" s="82" t="s">
        <v>164</v>
      </c>
      <c r="D26" s="86"/>
      <c r="E26" s="86">
        <v>2.7936999999999955E-2</v>
      </c>
      <c r="F26" s="86">
        <v>1.0526000000000011E-2</v>
      </c>
      <c r="G26" s="86">
        <v>0</v>
      </c>
      <c r="H26" s="86">
        <v>0</v>
      </c>
      <c r="I26" s="86">
        <v>1.601600000000002E-2</v>
      </c>
      <c r="J26" s="86"/>
      <c r="K26" s="86"/>
      <c r="L26" s="86"/>
      <c r="M26" s="86">
        <v>0.52390099999999995</v>
      </c>
      <c r="N26" s="86">
        <v>0.25680700000000001</v>
      </c>
      <c r="O26" s="86">
        <v>0</v>
      </c>
      <c r="P26" s="86">
        <v>0</v>
      </c>
      <c r="Q26" s="86">
        <v>0.26417000000000002</v>
      </c>
      <c r="R26" s="86"/>
      <c r="S26" s="86"/>
    </row>
    <row r="27" spans="1:19" ht="15" customHeight="1" x14ac:dyDescent="0.25">
      <c r="A27" s="82" t="s">
        <v>182</v>
      </c>
      <c r="B27" s="82" t="s">
        <v>181</v>
      </c>
      <c r="C27" s="82" t="s">
        <v>170</v>
      </c>
      <c r="D27" s="86"/>
      <c r="E27" s="86">
        <v>0</v>
      </c>
      <c r="F27" s="86">
        <v>0</v>
      </c>
      <c r="G27" s="86">
        <v>0</v>
      </c>
      <c r="H27" s="86">
        <v>0</v>
      </c>
      <c r="I27" s="86">
        <v>8.7079999999999987E-3</v>
      </c>
      <c r="J27" s="86"/>
      <c r="K27" s="86"/>
      <c r="L27" s="86"/>
      <c r="M27" s="86">
        <v>4.5860000000000007E-3</v>
      </c>
      <c r="N27" s="86">
        <v>0</v>
      </c>
      <c r="O27" s="86">
        <v>0</v>
      </c>
      <c r="P27" s="86">
        <v>0</v>
      </c>
      <c r="Q27" s="86">
        <v>0.107444</v>
      </c>
      <c r="R27" s="86"/>
      <c r="S27" s="86"/>
    </row>
    <row r="28" spans="1:19" ht="15" customHeight="1" x14ac:dyDescent="0.25">
      <c r="A28" s="82" t="s">
        <v>182</v>
      </c>
      <c r="B28" s="82" t="s">
        <v>181</v>
      </c>
      <c r="C28" s="82" t="s">
        <v>178</v>
      </c>
      <c r="D28" s="86"/>
      <c r="E28" s="86">
        <v>9.4620000000000173E-3</v>
      </c>
      <c r="F28" s="86">
        <v>3.7530000000000003E-3</v>
      </c>
      <c r="G28" s="86">
        <v>0</v>
      </c>
      <c r="H28" s="86">
        <v>2.3300000000000011E-4</v>
      </c>
      <c r="I28" s="86">
        <v>4.929000000000002E-3</v>
      </c>
      <c r="J28" s="86"/>
      <c r="K28" s="86"/>
      <c r="L28" s="86"/>
      <c r="M28" s="86">
        <v>0.191275</v>
      </c>
      <c r="N28" s="86">
        <v>7.8519000000000005E-2</v>
      </c>
      <c r="O28" s="86">
        <v>0</v>
      </c>
      <c r="P28" s="86">
        <v>2.6970000000000002E-3</v>
      </c>
      <c r="Q28" s="86">
        <v>9.0275000000000008E-2</v>
      </c>
      <c r="R28" s="86"/>
      <c r="S28" s="86"/>
    </row>
    <row r="29" spans="1:19" ht="15" customHeight="1" x14ac:dyDescent="0.25">
      <c r="A29" s="82" t="s">
        <v>182</v>
      </c>
      <c r="B29" s="82" t="s">
        <v>181</v>
      </c>
      <c r="C29" s="82" t="s">
        <v>171</v>
      </c>
      <c r="D29" s="86"/>
      <c r="E29" s="86">
        <v>0</v>
      </c>
      <c r="F29" s="86">
        <v>0</v>
      </c>
      <c r="G29" s="86">
        <v>0</v>
      </c>
      <c r="H29" s="86">
        <v>0</v>
      </c>
      <c r="I29" s="86">
        <v>0</v>
      </c>
      <c r="J29" s="86"/>
      <c r="K29" s="86"/>
      <c r="L29" s="86"/>
      <c r="M29" s="86">
        <v>3.5739999999999999E-3</v>
      </c>
      <c r="N29" s="86">
        <v>0</v>
      </c>
      <c r="O29" s="86">
        <v>0</v>
      </c>
      <c r="P29" s="86">
        <v>0</v>
      </c>
      <c r="Q29" s="86">
        <v>0</v>
      </c>
      <c r="R29" s="86"/>
      <c r="S29" s="86"/>
    </row>
    <row r="30" spans="1:19" ht="15" customHeight="1" x14ac:dyDescent="0.25">
      <c r="A30" s="82" t="s">
        <v>182</v>
      </c>
      <c r="B30" s="82" t="s">
        <v>181</v>
      </c>
      <c r="C30" s="82" t="s">
        <v>158</v>
      </c>
      <c r="D30" s="86"/>
      <c r="E30" s="86">
        <v>1.9350000000000023E-3</v>
      </c>
      <c r="F30" s="86">
        <v>5.7999999999999994E-5</v>
      </c>
      <c r="G30" s="86">
        <v>0</v>
      </c>
      <c r="H30" s="86">
        <v>0</v>
      </c>
      <c r="I30" s="86">
        <v>6.5100000000000162E-4</v>
      </c>
      <c r="J30" s="86"/>
      <c r="K30" s="86"/>
      <c r="L30" s="86"/>
      <c r="M30" s="86">
        <v>3.7502000000000001E-2</v>
      </c>
      <c r="N30" s="86">
        <v>4.64E-4</v>
      </c>
      <c r="O30" s="86">
        <v>0</v>
      </c>
      <c r="P30" s="86">
        <v>0</v>
      </c>
      <c r="Q30" s="86">
        <v>1.6126000000000001E-2</v>
      </c>
      <c r="R30" s="86"/>
      <c r="S30" s="86"/>
    </row>
    <row r="31" spans="1:19" ht="15" customHeight="1" x14ac:dyDescent="0.25">
      <c r="A31" s="82" t="s">
        <v>182</v>
      </c>
      <c r="B31" s="82" t="s">
        <v>181</v>
      </c>
      <c r="C31" s="82" t="s">
        <v>172</v>
      </c>
      <c r="D31" s="86"/>
      <c r="E31" s="86">
        <v>0</v>
      </c>
      <c r="F31" s="86">
        <v>0</v>
      </c>
      <c r="G31" s="86">
        <v>0</v>
      </c>
      <c r="H31" s="86">
        <v>0</v>
      </c>
      <c r="I31" s="86">
        <v>0</v>
      </c>
      <c r="J31" s="86"/>
      <c r="K31" s="86"/>
      <c r="L31" s="86"/>
      <c r="M31" s="86">
        <v>1.1949E-2</v>
      </c>
      <c r="N31" s="86">
        <v>0</v>
      </c>
      <c r="O31" s="86">
        <v>0</v>
      </c>
      <c r="P31" s="86">
        <v>0</v>
      </c>
      <c r="Q31" s="86">
        <v>0</v>
      </c>
      <c r="R31" s="86"/>
      <c r="S31" s="86"/>
    </row>
    <row r="32" spans="1:19" ht="15" customHeight="1" x14ac:dyDescent="0.25">
      <c r="A32" s="82" t="s">
        <v>182</v>
      </c>
      <c r="B32" s="82" t="s">
        <v>181</v>
      </c>
      <c r="C32" s="82" t="s">
        <v>158</v>
      </c>
      <c r="D32" s="86"/>
      <c r="E32" s="86">
        <v>0</v>
      </c>
      <c r="F32" s="86">
        <v>0</v>
      </c>
      <c r="G32" s="86">
        <v>0</v>
      </c>
      <c r="H32" s="86">
        <v>0</v>
      </c>
      <c r="I32" s="86">
        <v>0</v>
      </c>
      <c r="J32" s="86"/>
      <c r="K32" s="86"/>
      <c r="L32" s="86"/>
      <c r="M32" s="86">
        <v>7.3450000000000001E-2</v>
      </c>
      <c r="N32" s="86">
        <v>0</v>
      </c>
      <c r="O32" s="86">
        <v>0</v>
      </c>
      <c r="P32" s="86">
        <v>7.1340000000000006E-3</v>
      </c>
      <c r="Q32" s="86">
        <v>3.5595000000000002E-2</v>
      </c>
      <c r="R32" s="86"/>
      <c r="S32" s="86"/>
    </row>
    <row r="33" spans="1:19" ht="15" customHeight="1" x14ac:dyDescent="0.25">
      <c r="A33" s="82" t="s">
        <v>182</v>
      </c>
      <c r="B33" s="82" t="s">
        <v>183</v>
      </c>
      <c r="C33" s="82" t="s">
        <v>173</v>
      </c>
      <c r="D33" s="86"/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/>
      <c r="K33" s="86"/>
      <c r="L33" s="86"/>
      <c r="M33" s="86">
        <v>0</v>
      </c>
      <c r="N33" s="86">
        <v>0</v>
      </c>
      <c r="O33" s="86">
        <v>0</v>
      </c>
      <c r="P33" s="86">
        <v>4.8799999999999999E-4</v>
      </c>
      <c r="Q33" s="86">
        <v>0</v>
      </c>
      <c r="R33" s="86"/>
      <c r="S33" s="86"/>
    </row>
    <row r="34" spans="1:19" ht="15" customHeight="1" x14ac:dyDescent="0.25">
      <c r="A34" s="82" t="s">
        <v>182</v>
      </c>
      <c r="B34" s="82" t="s">
        <v>181</v>
      </c>
      <c r="C34" s="84" t="s">
        <v>206</v>
      </c>
      <c r="D34" s="86"/>
      <c r="E34" s="86">
        <v>8.5245000000000001E-2</v>
      </c>
      <c r="F34" s="86">
        <v>8.0047000000000021E-2</v>
      </c>
      <c r="G34" s="86">
        <v>0</v>
      </c>
      <c r="H34" s="86">
        <v>8.4403999999999993E-2</v>
      </c>
      <c r="I34" s="86">
        <v>6.337000000000001E-2</v>
      </c>
      <c r="J34" s="86"/>
      <c r="K34" s="86"/>
      <c r="L34" s="86"/>
      <c r="M34" s="86">
        <v>0.98592499999999994</v>
      </c>
      <c r="N34" s="86">
        <v>0.83974599999999999</v>
      </c>
      <c r="O34" s="86">
        <v>0</v>
      </c>
      <c r="P34" s="86">
        <v>0.65612599999999999</v>
      </c>
      <c r="Q34" s="86">
        <v>0.629104</v>
      </c>
      <c r="R34" s="86"/>
      <c r="S34" s="86"/>
    </row>
    <row r="35" spans="1:19" ht="15" customHeight="1" x14ac:dyDescent="0.25">
      <c r="A35" s="82" t="s">
        <v>182</v>
      </c>
      <c r="B35" s="82" t="s">
        <v>181</v>
      </c>
      <c r="C35" s="82" t="s">
        <v>174</v>
      </c>
      <c r="D35" s="86"/>
      <c r="E35" s="86">
        <v>4.4662000000000007E-2</v>
      </c>
      <c r="F35" s="86">
        <v>0</v>
      </c>
      <c r="G35" s="86">
        <v>0</v>
      </c>
      <c r="H35" s="86">
        <v>1.7</v>
      </c>
      <c r="I35" s="86">
        <v>0</v>
      </c>
      <c r="J35" s="86"/>
      <c r="K35" s="86"/>
      <c r="L35" s="86"/>
      <c r="M35" s="86">
        <v>4.7462000000000004E-2</v>
      </c>
      <c r="N35" s="86">
        <v>0</v>
      </c>
      <c r="O35" s="86">
        <v>0</v>
      </c>
      <c r="P35" s="86">
        <v>1.7</v>
      </c>
      <c r="Q35" s="86">
        <v>1.1438440000000001</v>
      </c>
      <c r="R35" s="86"/>
      <c r="S35" s="86"/>
    </row>
    <row r="36" spans="1:19" ht="15" customHeight="1" x14ac:dyDescent="0.25">
      <c r="A36" s="82" t="s">
        <v>182</v>
      </c>
      <c r="B36" s="82" t="s">
        <v>181</v>
      </c>
      <c r="C36" s="82" t="s">
        <v>168</v>
      </c>
      <c r="D36" s="86"/>
      <c r="E36" s="86">
        <v>1.9329999999999998E-3</v>
      </c>
      <c r="F36" s="86">
        <v>0</v>
      </c>
      <c r="G36" s="86">
        <v>0</v>
      </c>
      <c r="H36" s="86">
        <v>0</v>
      </c>
      <c r="I36" s="86">
        <v>3.1679999999999994E-3</v>
      </c>
      <c r="J36" s="86"/>
      <c r="K36" s="86"/>
      <c r="L36" s="86"/>
      <c r="M36" s="86">
        <v>2.2886E-2</v>
      </c>
      <c r="N36" s="86">
        <v>0</v>
      </c>
      <c r="O36" s="86">
        <v>0</v>
      </c>
      <c r="P36" s="86">
        <v>0</v>
      </c>
      <c r="Q36" s="86">
        <v>3.5506000000000003E-2</v>
      </c>
      <c r="R36" s="86"/>
      <c r="S36" s="86"/>
    </row>
    <row r="37" spans="1:19" ht="15" customHeight="1" x14ac:dyDescent="0.25">
      <c r="A37" s="82" t="s">
        <v>182</v>
      </c>
      <c r="B37" s="82" t="s">
        <v>181</v>
      </c>
      <c r="C37" s="82" t="s">
        <v>175</v>
      </c>
      <c r="D37" s="86"/>
      <c r="E37" s="86">
        <v>0</v>
      </c>
      <c r="F37" s="86">
        <v>0</v>
      </c>
      <c r="G37" s="86">
        <v>0</v>
      </c>
      <c r="H37" s="86">
        <v>0</v>
      </c>
      <c r="I37" s="86">
        <v>0</v>
      </c>
      <c r="J37" s="86"/>
      <c r="K37" s="86"/>
      <c r="L37" s="86"/>
      <c r="M37" s="86">
        <v>2.0590000000000001E-3</v>
      </c>
      <c r="N37" s="86">
        <v>0</v>
      </c>
      <c r="O37" s="86">
        <v>0</v>
      </c>
      <c r="P37" s="86">
        <v>0</v>
      </c>
      <c r="Q37" s="86">
        <v>0</v>
      </c>
      <c r="R37" s="86"/>
      <c r="S37" s="86"/>
    </row>
    <row r="38" spans="1:19" ht="15" customHeight="1" x14ac:dyDescent="0.25">
      <c r="A38" s="82" t="s">
        <v>182</v>
      </c>
      <c r="B38" s="82" t="s">
        <v>181</v>
      </c>
      <c r="C38" s="82" t="s">
        <v>180</v>
      </c>
      <c r="D38" s="86"/>
      <c r="E38" s="86">
        <v>4.4480000000000075E-3</v>
      </c>
      <c r="F38" s="86">
        <v>2.1090000000000019E-3</v>
      </c>
      <c r="G38" s="86">
        <v>0</v>
      </c>
      <c r="H38" s="86">
        <v>0</v>
      </c>
      <c r="I38" s="86">
        <v>1.6264000000000011E-2</v>
      </c>
      <c r="J38" s="86"/>
      <c r="K38" s="86"/>
      <c r="L38" s="86"/>
      <c r="M38" s="86">
        <v>0.18218500000000001</v>
      </c>
      <c r="N38" s="86">
        <v>4.2186000000000001E-2</v>
      </c>
      <c r="O38" s="86">
        <v>0</v>
      </c>
      <c r="P38" s="86">
        <v>0</v>
      </c>
      <c r="Q38" s="86">
        <v>0.37224799999999997</v>
      </c>
      <c r="R38" s="86"/>
      <c r="S38" s="86"/>
    </row>
    <row r="39" spans="1:19" ht="15" customHeight="1" x14ac:dyDescent="0.25">
      <c r="A39" s="82" t="s">
        <v>182</v>
      </c>
      <c r="B39" s="82" t="s">
        <v>181</v>
      </c>
      <c r="C39" s="82" t="s">
        <v>176</v>
      </c>
      <c r="D39" s="86"/>
      <c r="E39" s="86">
        <v>0</v>
      </c>
      <c r="F39" s="86">
        <v>0</v>
      </c>
      <c r="G39" s="86">
        <v>0</v>
      </c>
      <c r="H39" s="86">
        <v>0</v>
      </c>
      <c r="I39" s="86">
        <v>0</v>
      </c>
      <c r="J39" s="86"/>
      <c r="K39" s="86"/>
      <c r="L39" s="86"/>
      <c r="M39" s="86">
        <v>0</v>
      </c>
      <c r="N39" s="86">
        <v>0</v>
      </c>
      <c r="O39" s="86">
        <v>0</v>
      </c>
      <c r="P39" s="86">
        <v>0</v>
      </c>
      <c r="Q39" s="86">
        <v>0</v>
      </c>
      <c r="R39" s="86"/>
      <c r="S39" s="86"/>
    </row>
    <row r="40" spans="1:19" ht="15" customHeight="1" x14ac:dyDescent="0.25">
      <c r="A40" s="82" t="s">
        <v>182</v>
      </c>
      <c r="B40" s="82" t="s">
        <v>181</v>
      </c>
      <c r="C40" s="82" t="s">
        <v>158</v>
      </c>
      <c r="D40" s="86"/>
      <c r="E40" s="86">
        <v>5.4899999999999947E-4</v>
      </c>
      <c r="F40" s="86">
        <v>0</v>
      </c>
      <c r="G40" s="86">
        <v>0</v>
      </c>
      <c r="H40" s="86">
        <v>0</v>
      </c>
      <c r="I40" s="86">
        <v>5.900000000000016E-5</v>
      </c>
      <c r="J40" s="86"/>
      <c r="K40" s="86"/>
      <c r="L40" s="86"/>
      <c r="M40" s="86">
        <v>1.3618999999999999E-2</v>
      </c>
      <c r="N40" s="86">
        <v>0</v>
      </c>
      <c r="O40" s="86">
        <v>0</v>
      </c>
      <c r="P40" s="86">
        <v>0</v>
      </c>
      <c r="Q40" s="86">
        <v>7.5899999999999995E-3</v>
      </c>
      <c r="R40" s="86"/>
      <c r="S40" s="86"/>
    </row>
    <row r="41" spans="1:19" ht="15" customHeight="1" x14ac:dyDescent="0.25">
      <c r="A41" s="82" t="s">
        <v>182</v>
      </c>
      <c r="B41" s="82" t="s">
        <v>181</v>
      </c>
      <c r="C41" s="82" t="s">
        <v>177</v>
      </c>
      <c r="D41" s="86"/>
      <c r="E41" s="86">
        <v>0</v>
      </c>
      <c r="F41" s="86">
        <v>0</v>
      </c>
      <c r="G41" s="86">
        <v>0</v>
      </c>
      <c r="H41" s="86">
        <v>0</v>
      </c>
      <c r="I41" s="86">
        <v>0</v>
      </c>
      <c r="J41" s="86"/>
      <c r="K41" s="86"/>
      <c r="L41" s="86"/>
      <c r="M41" s="86">
        <v>0</v>
      </c>
      <c r="N41" s="86">
        <v>0</v>
      </c>
      <c r="O41" s="86">
        <v>0</v>
      </c>
      <c r="P41" s="86">
        <v>0</v>
      </c>
      <c r="Q41" s="86">
        <v>0</v>
      </c>
      <c r="R41" s="86"/>
      <c r="S41" s="86"/>
    </row>
    <row r="42" spans="1:19" ht="15" customHeight="1" x14ac:dyDescent="0.25">
      <c r="A42" s="82" t="s">
        <v>182</v>
      </c>
      <c r="B42" s="82" t="s">
        <v>181</v>
      </c>
      <c r="C42" s="82" t="s">
        <v>178</v>
      </c>
      <c r="D42" s="86"/>
      <c r="E42" s="86">
        <v>4.530000000000001E-3</v>
      </c>
      <c r="F42" s="86">
        <v>0</v>
      </c>
      <c r="G42" s="86">
        <v>0</v>
      </c>
      <c r="H42" s="86">
        <v>0</v>
      </c>
      <c r="I42" s="86">
        <v>1.689E-3</v>
      </c>
      <c r="J42" s="86"/>
      <c r="K42" s="86"/>
      <c r="L42" s="86"/>
      <c r="M42" s="86">
        <v>7.9893000000000006E-2</v>
      </c>
      <c r="N42" s="86">
        <v>0</v>
      </c>
      <c r="O42" s="86">
        <v>0</v>
      </c>
      <c r="P42" s="86">
        <v>2.43E-4</v>
      </c>
      <c r="Q42" s="86">
        <v>4.7683999999999997E-2</v>
      </c>
      <c r="R42" s="86"/>
      <c r="S42" s="86"/>
    </row>
    <row r="43" spans="1:19" ht="15" customHeight="1" x14ac:dyDescent="0.25">
      <c r="A43" s="82" t="s">
        <v>182</v>
      </c>
      <c r="B43" s="82" t="s">
        <v>181</v>
      </c>
      <c r="C43" s="82" t="s">
        <v>179</v>
      </c>
      <c r="D43" s="86"/>
      <c r="E43" s="86">
        <v>2.1479999999999996E-2</v>
      </c>
      <c r="F43" s="86">
        <v>0</v>
      </c>
      <c r="G43" s="86">
        <v>0</v>
      </c>
      <c r="H43" s="86">
        <v>3.6480000000000002E-3</v>
      </c>
      <c r="I43" s="86">
        <v>0</v>
      </c>
      <c r="J43" s="86"/>
      <c r="K43" s="86"/>
      <c r="L43" s="86"/>
      <c r="M43" s="86">
        <v>3.9473999999999995E-2</v>
      </c>
      <c r="N43" s="86">
        <v>0</v>
      </c>
      <c r="O43" s="86">
        <v>0</v>
      </c>
      <c r="P43" s="86">
        <v>3.6480000000000002E-3</v>
      </c>
      <c r="Q43" s="86">
        <v>2.7919999999999998E-3</v>
      </c>
      <c r="R43" s="86"/>
      <c r="S43" s="86"/>
    </row>
    <row r="44" spans="1:19" ht="15" customHeight="1" x14ac:dyDescent="0.25">
      <c r="A44" s="82" t="s">
        <v>182</v>
      </c>
      <c r="B44" s="82" t="s">
        <v>181</v>
      </c>
      <c r="C44" s="84" t="s">
        <v>195</v>
      </c>
      <c r="D44" s="86"/>
      <c r="E44" s="86">
        <v>4.8293999999999983E-2</v>
      </c>
      <c r="F44" s="86">
        <v>5.7245999999999977E-2</v>
      </c>
      <c r="G44" s="86">
        <v>2.0500000000000006E-3</v>
      </c>
      <c r="H44" s="86">
        <v>0</v>
      </c>
      <c r="I44" s="86">
        <v>2.5623000000000049E-2</v>
      </c>
      <c r="J44" s="86"/>
      <c r="K44" s="86"/>
      <c r="L44" s="86"/>
      <c r="M44" s="86">
        <v>0.85267800000000005</v>
      </c>
      <c r="N44" s="86">
        <v>0.94941300000000006</v>
      </c>
      <c r="O44" s="86">
        <v>3.3572999999999999E-2</v>
      </c>
      <c r="P44" s="86">
        <v>0</v>
      </c>
      <c r="Q44" s="86">
        <v>0.40180900000000003</v>
      </c>
      <c r="R44" s="86"/>
      <c r="S44" s="86"/>
    </row>
    <row r="46" spans="1:19" x14ac:dyDescent="0.25">
      <c r="A46" s="81" t="s">
        <v>201</v>
      </c>
    </row>
  </sheetData>
  <mergeCells count="10">
    <mergeCell ref="A2:S2"/>
    <mergeCell ref="A5:A7"/>
    <mergeCell ref="B5:B7"/>
    <mergeCell ref="C5:C7"/>
    <mergeCell ref="D5:K5"/>
    <mergeCell ref="L5:S5"/>
    <mergeCell ref="D6:G6"/>
    <mergeCell ref="H6:K6"/>
    <mergeCell ref="L6:O6"/>
    <mergeCell ref="P6:S6"/>
  </mergeCells>
  <pageMargins left="0.39370078740157483" right="0.39370078740157483" top="0.39370078740157483" bottom="0.39370078740157483" header="0" footer="0"/>
  <pageSetup paperSize="9" scale="74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13"/>
  <sheetViews>
    <sheetView view="pageBreakPreview" topLeftCell="B1" zoomScaleNormal="100" zoomScaleSheetLayoutView="100" zoomScalePageLayoutView="85" workbookViewId="0">
      <selection activeCell="S22" sqref="S22"/>
    </sheetView>
  </sheetViews>
  <sheetFormatPr defaultColWidth="8.85546875" defaultRowHeight="13.5" x14ac:dyDescent="0.25"/>
  <cols>
    <col min="1" max="1" width="30.42578125" style="72" customWidth="1"/>
    <col min="2" max="2" width="18.28515625" style="72" customWidth="1"/>
    <col min="3" max="3" width="21.85546875" style="72" customWidth="1"/>
    <col min="4" max="9" width="12.5703125" style="72" customWidth="1"/>
    <col min="10" max="20" width="6.7109375" style="72" customWidth="1"/>
    <col min="21" max="1024" width="8.85546875" style="72"/>
    <col min="1025" max="16384" width="8.85546875" style="71"/>
  </cols>
  <sheetData>
    <row r="2" spans="1:9" ht="20.25" x14ac:dyDescent="0.3">
      <c r="A2" s="11" t="s">
        <v>141</v>
      </c>
      <c r="B2" s="11"/>
      <c r="C2" s="18"/>
    </row>
    <row r="4" spans="1:9" x14ac:dyDescent="0.25">
      <c r="A4" s="72" t="s">
        <v>142</v>
      </c>
    </row>
    <row r="5" spans="1:9" ht="19.899999999999999" customHeight="1" x14ac:dyDescent="0.25">
      <c r="A5" s="92" t="s">
        <v>143</v>
      </c>
      <c r="B5" s="92" t="s">
        <v>112</v>
      </c>
      <c r="C5" s="92" t="s">
        <v>144</v>
      </c>
      <c r="D5" s="92" t="s">
        <v>145</v>
      </c>
      <c r="E5" s="92"/>
      <c r="F5" s="92" t="s">
        <v>146</v>
      </c>
      <c r="G5" s="92" t="s">
        <v>147</v>
      </c>
      <c r="H5" s="92"/>
      <c r="I5" s="92" t="s">
        <v>148</v>
      </c>
    </row>
    <row r="6" spans="1:9" ht="29.45" customHeight="1" x14ac:dyDescent="0.25">
      <c r="A6" s="92"/>
      <c r="B6" s="92"/>
      <c r="C6" s="92"/>
      <c r="D6" s="77" t="s">
        <v>149</v>
      </c>
      <c r="E6" s="77" t="s">
        <v>150</v>
      </c>
      <c r="F6" s="92"/>
      <c r="G6" s="77" t="s">
        <v>149</v>
      </c>
      <c r="H6" s="77" t="s">
        <v>150</v>
      </c>
      <c r="I6" s="92"/>
    </row>
    <row r="7" spans="1:9" ht="12" customHeight="1" x14ac:dyDescent="0.25">
      <c r="A7" s="78">
        <v>1</v>
      </c>
      <c r="B7" s="78">
        <v>2</v>
      </c>
      <c r="C7" s="78">
        <v>3</v>
      </c>
      <c r="D7" s="78">
        <v>4</v>
      </c>
      <c r="E7" s="78">
        <v>5</v>
      </c>
      <c r="F7" s="78">
        <v>6</v>
      </c>
      <c r="G7" s="78">
        <v>7</v>
      </c>
      <c r="H7" s="78">
        <v>8</v>
      </c>
      <c r="I7" s="78">
        <v>9</v>
      </c>
    </row>
    <row r="8" spans="1:9" ht="18" customHeight="1" x14ac:dyDescent="0.25">
      <c r="A8" s="73"/>
      <c r="B8" s="73"/>
      <c r="C8" s="73"/>
      <c r="D8" s="73"/>
      <c r="E8" s="73"/>
      <c r="F8" s="73"/>
      <c r="G8" s="73"/>
      <c r="H8" s="73"/>
      <c r="I8" s="73"/>
    </row>
    <row r="9" spans="1:9" ht="18" customHeight="1" x14ac:dyDescent="0.25">
      <c r="A9" s="73"/>
      <c r="B9" s="73"/>
      <c r="C9" s="73"/>
      <c r="D9" s="73"/>
      <c r="E9" s="73"/>
      <c r="F9" s="73"/>
      <c r="G9" s="73"/>
      <c r="H9" s="73"/>
      <c r="I9" s="73"/>
    </row>
    <row r="10" spans="1:9" ht="18" customHeight="1" x14ac:dyDescent="0.25">
      <c r="A10" s="73"/>
      <c r="B10" s="73"/>
      <c r="C10" s="73"/>
      <c r="D10" s="73"/>
      <c r="E10" s="73"/>
      <c r="F10" s="73"/>
      <c r="G10" s="73"/>
      <c r="H10" s="73"/>
      <c r="I10" s="73"/>
    </row>
    <row r="11" spans="1:9" ht="18" customHeight="1" x14ac:dyDescent="0.25">
      <c r="A11" s="73"/>
      <c r="B11" s="73"/>
      <c r="C11" s="73"/>
      <c r="D11" s="73"/>
      <c r="E11" s="73"/>
      <c r="F11" s="73"/>
      <c r="G11" s="73"/>
      <c r="H11" s="73"/>
      <c r="I11" s="73"/>
    </row>
    <row r="12" spans="1:9" ht="18" customHeight="1" x14ac:dyDescent="0.25">
      <c r="A12" s="73"/>
      <c r="B12" s="73"/>
      <c r="C12" s="73"/>
      <c r="D12" s="73"/>
      <c r="E12" s="73"/>
      <c r="F12" s="73"/>
      <c r="G12" s="73"/>
      <c r="H12" s="73"/>
      <c r="I12" s="73"/>
    </row>
    <row r="13" spans="1:9" ht="18" customHeight="1" x14ac:dyDescent="0.25">
      <c r="A13" s="73"/>
      <c r="B13" s="73"/>
      <c r="C13" s="73"/>
      <c r="D13" s="73"/>
      <c r="E13" s="73"/>
      <c r="F13" s="73"/>
      <c r="G13" s="73"/>
      <c r="H13" s="73"/>
      <c r="I13" s="73"/>
    </row>
  </sheetData>
  <mergeCells count="7">
    <mergeCell ref="G5:H5"/>
    <mergeCell ref="I5:I6"/>
    <mergeCell ref="A5:A6"/>
    <mergeCell ref="B5:B6"/>
    <mergeCell ref="C5:C6"/>
    <mergeCell ref="D5:E5"/>
    <mergeCell ref="F5:F6"/>
  </mergeCells>
  <pageMargins left="0.196527777777778" right="0.196527777777778" top="0.74791666666666701" bottom="0.74791666666666701" header="0.51180555555555496" footer="0.51180555555555496"/>
  <pageSetup paperSize="9" firstPageNumber="0" orientation="landscape" horizontalDpi="300" verticalDpi="300" r:id="rId1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J15"/>
  <sheetViews>
    <sheetView view="pageBreakPreview" zoomScaleNormal="100" zoomScaleSheetLayoutView="100" zoomScalePageLayoutView="85" workbookViewId="0">
      <selection activeCell="C8" sqref="C8"/>
    </sheetView>
  </sheetViews>
  <sheetFormatPr defaultColWidth="8.85546875" defaultRowHeight="13.5" x14ac:dyDescent="0.25"/>
  <cols>
    <col min="1" max="2" width="22" style="5" customWidth="1"/>
    <col min="3" max="3" width="65.42578125" style="5" customWidth="1"/>
    <col min="4" max="11" width="6.7109375" style="5" customWidth="1"/>
    <col min="12" max="1024" width="8.85546875" style="5"/>
  </cols>
  <sheetData>
    <row r="2" spans="1:3" ht="20.25" x14ac:dyDescent="0.3">
      <c r="A2" s="11" t="s">
        <v>151</v>
      </c>
      <c r="B2" s="18"/>
    </row>
    <row r="4" spans="1:3" x14ac:dyDescent="0.25">
      <c r="A4" s="5" t="s">
        <v>152</v>
      </c>
    </row>
    <row r="5" spans="1:3" ht="37.9" customHeight="1" x14ac:dyDescent="0.25">
      <c r="A5" s="19" t="s">
        <v>153</v>
      </c>
      <c r="B5" s="19" t="s">
        <v>154</v>
      </c>
      <c r="C5" s="19" t="s">
        <v>155</v>
      </c>
    </row>
    <row r="6" spans="1:3" ht="12" customHeight="1" x14ac:dyDescent="0.25">
      <c r="A6" s="14">
        <v>1</v>
      </c>
      <c r="B6" s="14">
        <v>2</v>
      </c>
      <c r="C6" s="14">
        <v>3</v>
      </c>
    </row>
    <row r="7" spans="1:3" ht="61.15" customHeight="1" x14ac:dyDescent="0.25">
      <c r="A7" s="20" t="s">
        <v>156</v>
      </c>
      <c r="B7" s="21" t="s">
        <v>7</v>
      </c>
      <c r="C7" s="8"/>
    </row>
    <row r="8" spans="1:3" ht="61.15" customHeight="1" x14ac:dyDescent="0.25">
      <c r="A8" s="20" t="s">
        <v>121</v>
      </c>
      <c r="B8" s="21" t="s">
        <v>7</v>
      </c>
      <c r="C8" s="8"/>
    </row>
    <row r="9" spans="1:3" ht="61.15" customHeight="1" x14ac:dyDescent="0.25">
      <c r="A9" s="20" t="s">
        <v>157</v>
      </c>
      <c r="B9" s="21" t="s">
        <v>3</v>
      </c>
      <c r="C9" s="8"/>
    </row>
    <row r="15" spans="1:3" ht="15" x14ac:dyDescent="0.25">
      <c r="C15" s="56"/>
    </row>
  </sheetData>
  <conditionalFormatting sqref="B7:B9">
    <cfRule type="cellIs" dxfId="2" priority="2" operator="equal">
      <formula>"1 - Стабильная"</formula>
    </cfRule>
    <cfRule type="cellIs" dxfId="1" priority="3" operator="equal">
      <formula>"2 - Напряженная"</formula>
    </cfRule>
    <cfRule type="cellIs" dxfId="0" priority="4" operator="equal">
      <formula>"3 - Критическая"</formula>
    </cfRule>
  </conditionalFormatting>
  <dataValidations count="1">
    <dataValidation type="list" allowBlank="1" showInputMessage="1" showErrorMessage="1" sqref="B7:B9">
      <formula1>ситуация</formula1>
      <formula2>0</formula2>
    </dataValidation>
  </dataValidations>
  <pageMargins left="1.1812499999999999" right="0.196527777777778" top="0.74791666666666701" bottom="0.74791666666666701" header="0.51180555555555496" footer="0.51180555555555496"/>
  <pageSetup paperSize="9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8</vt:i4>
      </vt:variant>
    </vt:vector>
  </HeadingPairs>
  <TitlesOfParts>
    <vt:vector size="16" baseType="lpstr">
      <vt:lpstr>Справочник</vt:lpstr>
      <vt:lpstr>1-Структура</vt:lpstr>
      <vt:lpstr>2-Потребность</vt:lpstr>
      <vt:lpstr>3-Остатки</vt:lpstr>
      <vt:lpstr>4-Поставка</vt:lpstr>
      <vt:lpstr>5-Реализация</vt:lpstr>
      <vt:lpstr>6-Авиатопливо</vt:lpstr>
      <vt:lpstr>7-Справка</vt:lpstr>
      <vt:lpstr>SF</vt:lpstr>
      <vt:lpstr>'1-Структура'!Область_печати</vt:lpstr>
      <vt:lpstr>'2-Потребность'!Область_печати</vt:lpstr>
      <vt:lpstr>'3-Остатки'!Область_печати</vt:lpstr>
      <vt:lpstr>'5-Реализация'!Область_печати</vt:lpstr>
      <vt:lpstr>'6-Авиатопливо'!Область_печати</vt:lpstr>
      <vt:lpstr>'7-Справка'!Область_печати</vt:lpstr>
      <vt:lpstr>ситуация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Алфосов Андрей Валерьевич</dc:creator>
  <dc:description/>
  <cp:lastModifiedBy>Луковцева Наталья Степановна</cp:lastModifiedBy>
  <cp:revision>0</cp:revision>
  <cp:lastPrinted>2025-02-12T07:43:14Z</cp:lastPrinted>
  <dcterms:created xsi:type="dcterms:W3CDTF">2022-10-25T09:43:49Z</dcterms:created>
  <dcterms:modified xsi:type="dcterms:W3CDTF">2026-01-29T07:00:37Z</dcterms:modified>
  <dc:language>ru-RU</dc:language>
</cp:coreProperties>
</file>